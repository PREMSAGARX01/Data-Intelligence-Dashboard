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/>
  <xr:revisionPtr revIDLastSave="0" documentId="8_{DF96790F-1665-45A6-B24F-4F42A4D406C8}" xr6:coauthVersionLast="47" xr6:coauthVersionMax="47" xr10:uidLastSave="{00000000-0000-0000-0000-000000000000}"/>
  <bookViews>
    <workbookView xWindow="0" yWindow="0" windowWidth="0" windowHeight="0" firstSheet="4" activeTab="6" xr2:uid="{00000000-000D-0000-FFFF-FFFF00000000}"/>
  </bookViews>
  <sheets>
    <sheet name="Instructions" sheetId="1" r:id="rId1"/>
    <sheet name="Pivot Analysis" sheetId="7" r:id="rId2"/>
    <sheet name="Raw Data" sheetId="2" r:id="rId3"/>
    <sheet name="Monthly Trends" sheetId="8" r:id="rId4"/>
    <sheet name="Detail1" sheetId="10" r:id="rId5"/>
    <sheet name="Product Analysis Pivot" sheetId="9" r:id="rId6"/>
    <sheet name="Analysis" sheetId="3" r:id="rId7"/>
    <sheet name="Visualizations" sheetId="4" r:id="rId8"/>
    <sheet name="Dashboard" sheetId="5" r:id="rId9"/>
    <sheet name="Final Report" sheetId="6" r:id="rId10"/>
  </sheets>
  <definedNames>
    <definedName name="NativeTimeline_Date">#N/A</definedName>
    <definedName name="rdAmt">'Raw Data'!$N$2:$N$251</definedName>
    <definedName name="rdCat">'Raw Data'!$G$2:$G$251</definedName>
    <definedName name="rdCust">'Raw Data'!$D$2:$D$251</definedName>
    <definedName name="rdCustID">'Raw Data'!$C$2:$C$251</definedName>
    <definedName name="rdDate">'Raw Data'!$B$2:$B$251</definedName>
    <definedName name="rdID">'Raw Data'!$A$2:$A$251</definedName>
    <definedName name="rdPay">'Raw Data'!$J$2:$J$251</definedName>
    <definedName name="rdPrice">'Raw Data'!$I$2:$I$251</definedName>
    <definedName name="rdProd">'Raw Data'!$F$2:$F$251</definedName>
    <definedName name="rdProdID">'Raw Data'!$E$2:$E$251</definedName>
    <definedName name="rdQty">'Raw Data'!$H$2:$H$251</definedName>
    <definedName name="rdReg">'Raw Data'!$K$2:$K$251</definedName>
    <definedName name="rdSeg">'Raw Data'!$L$2:$L$251</definedName>
    <definedName name="rdSince">'Raw Data'!$M$2:$M$251</definedName>
    <definedName name="rdX">'Raw Data'!$H$2:$I$251</definedName>
    <definedName name="Slicer_Category">#N/A</definedName>
    <definedName name="Slicer_Category1">#N/A</definedName>
    <definedName name="Slicer_Category2">#N/A</definedName>
    <definedName name="Slicer_Region">#N/A</definedName>
    <definedName name="Slicer_Region1">#N/A</definedName>
    <definedName name="Slicer_Region2">#N/A</definedName>
  </definedNames>
  <calcPr calcId="191028" iterate="1" calcCompleted="0"/>
  <pivotCaches>
    <pivotCache cacheId="874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3" l="1"/>
  <c r="D7" i="3"/>
  <c r="B36" i="3"/>
  <c r="B37" i="3"/>
  <c r="B48" i="6"/>
  <c r="B2" i="6"/>
  <c r="B48" i="4"/>
  <c r="B47" i="4"/>
  <c r="B46" i="4"/>
  <c r="D10" i="4"/>
  <c r="C10" i="4"/>
  <c r="B10" i="4"/>
  <c r="E10" i="4" s="1"/>
  <c r="D9" i="4"/>
  <c r="C9" i="4"/>
  <c r="B9" i="4"/>
  <c r="E9" i="4" s="1"/>
  <c r="D8" i="4"/>
  <c r="C8" i="4"/>
  <c r="B8" i="4"/>
  <c r="E8" i="4" s="1"/>
  <c r="D7" i="4"/>
  <c r="C7" i="4"/>
  <c r="B7" i="4"/>
  <c r="E7" i="4" s="1"/>
  <c r="D6" i="4"/>
  <c r="D11" i="4" s="1"/>
  <c r="C6" i="4"/>
  <c r="C11" i="4" s="1"/>
  <c r="B6" i="4"/>
  <c r="A313" i="3" a="1"/>
  <c r="A313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B310" i="3"/>
  <c r="B291" i="3"/>
  <c r="B279" i="3" a="1"/>
  <c r="B279" i="3"/>
  <c r="B302" i="3" s="1"/>
  <c r="E257" i="3"/>
  <c r="E256" i="3"/>
  <c r="B252" i="3"/>
  <c r="B249" i="3"/>
  <c r="C246" i="3"/>
  <c r="C188" i="3"/>
  <c r="B188" i="3"/>
  <c r="B167" i="3" a="1"/>
  <c r="B167" i="3"/>
  <c r="C167" i="3" s="1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B106" i="3" a="1"/>
  <c r="B106" i="3"/>
  <c r="C106" i="3" s="1"/>
  <c r="A102" i="3"/>
  <c r="A101" i="3"/>
  <c r="A100" i="3"/>
  <c r="A99" i="3"/>
  <c r="A98" i="3"/>
  <c r="A97" i="3"/>
  <c r="A96" i="3"/>
  <c r="A95" i="3"/>
  <c r="A94" i="3"/>
  <c r="A93" i="3"/>
  <c r="D89" i="3"/>
  <c r="C89" i="3"/>
  <c r="B89" i="3"/>
  <c r="D88" i="3"/>
  <c r="C88" i="3"/>
  <c r="B88" i="3"/>
  <c r="D87" i="3"/>
  <c r="C87" i="3"/>
  <c r="B87" i="3"/>
  <c r="E87" i="3" s="1"/>
  <c r="D84" i="3"/>
  <c r="C84" i="3"/>
  <c r="B84" i="3"/>
  <c r="D83" i="3"/>
  <c r="C83" i="3"/>
  <c r="B83" i="3"/>
  <c r="D82" i="3"/>
  <c r="C82" i="3"/>
  <c r="B82" i="3"/>
  <c r="D81" i="3"/>
  <c r="C81" i="3"/>
  <c r="B81" i="3"/>
  <c r="D78" i="3"/>
  <c r="C78" i="3"/>
  <c r="B78" i="3"/>
  <c r="D77" i="3"/>
  <c r="C77" i="3"/>
  <c r="B77" i="3"/>
  <c r="D76" i="3"/>
  <c r="C76" i="3"/>
  <c r="B76" i="3"/>
  <c r="E76" i="3" s="1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E72" i="3" s="1"/>
  <c r="D67" i="3"/>
  <c r="C67" i="3"/>
  <c r="B67" i="3"/>
  <c r="B49" i="3"/>
  <c r="A49" i="3"/>
  <c r="A26" i="4" s="1"/>
  <c r="B44" i="3"/>
  <c r="B43" i="3"/>
  <c r="B39" i="3"/>
  <c r="B38" i="3"/>
  <c r="B40" i="3" s="1"/>
  <c r="C28" i="3"/>
  <c r="B28" i="3"/>
  <c r="B23" i="3"/>
  <c r="C11" i="6" s="1"/>
  <c r="B22" i="3"/>
  <c r="C10" i="6" s="1"/>
  <c r="B21" i="3"/>
  <c r="D9" i="3"/>
  <c r="A9" i="3"/>
  <c r="D8" i="3"/>
  <c r="A8" i="3"/>
  <c r="A7" i="3"/>
  <c r="D6" i="3"/>
  <c r="A6" i="3"/>
  <c r="D5" i="3"/>
  <c r="A5" i="3"/>
  <c r="D4" i="3"/>
  <c r="A4" i="3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G67" i="5"/>
  <c r="G66" i="5"/>
  <c r="G65" i="5"/>
  <c r="G64" i="5"/>
  <c r="G63" i="5"/>
  <c r="G62" i="5"/>
  <c r="G61" i="5"/>
  <c r="G60" i="5"/>
  <c r="G59" i="5"/>
  <c r="G58" i="5"/>
  <c r="A58" i="5"/>
  <c r="B55" i="5"/>
  <c r="B54" i="5"/>
  <c r="B17" i="5"/>
  <c r="B16" i="5"/>
  <c r="B15" i="5"/>
  <c r="B14" i="5"/>
  <c r="B13" i="5"/>
  <c r="I7" i="5"/>
  <c r="E7" i="5"/>
  <c r="E8" i="5" s="1"/>
  <c r="C7" i="5"/>
  <c r="A7" i="5"/>
  <c r="A2" i="5"/>
  <c r="G7" i="5" l="1"/>
  <c r="A8" i="5"/>
  <c r="C8" i="5"/>
  <c r="K7" i="5"/>
  <c r="K8" i="5" s="1"/>
  <c r="B18" i="5"/>
  <c r="D17" i="5"/>
  <c r="C17" i="5"/>
  <c r="D16" i="5"/>
  <c r="C16" i="5"/>
  <c r="D15" i="5"/>
  <c r="C15" i="5"/>
  <c r="D14" i="5"/>
  <c r="C14" i="5"/>
  <c r="D13" i="5"/>
  <c r="C13" i="5"/>
  <c r="E60" i="5"/>
  <c r="E59" i="5"/>
  <c r="E58" i="5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D82" i="5"/>
  <c r="C82" i="5"/>
  <c r="D83" i="5"/>
  <c r="C83" i="5"/>
  <c r="D84" i="5"/>
  <c r="C84" i="5"/>
  <c r="D85" i="5"/>
  <c r="C85" i="5"/>
  <c r="D86" i="5"/>
  <c r="C86" i="5"/>
  <c r="D87" i="5"/>
  <c r="C87" i="5"/>
  <c r="D88" i="5"/>
  <c r="C88" i="5"/>
  <c r="D89" i="5"/>
  <c r="C89" i="5"/>
  <c r="D90" i="5"/>
  <c r="C90" i="5"/>
  <c r="D91" i="5"/>
  <c r="C91" i="5"/>
  <c r="D92" i="5"/>
  <c r="C92" i="5"/>
  <c r="D93" i="5"/>
  <c r="C93" i="5"/>
  <c r="D94" i="5"/>
  <c r="C94" i="5"/>
  <c r="D95" i="5"/>
  <c r="C95" i="5"/>
  <c r="D96" i="5"/>
  <c r="C96" i="5"/>
  <c r="D97" i="5"/>
  <c r="C97" i="5"/>
  <c r="D98" i="5"/>
  <c r="C98" i="5"/>
  <c r="D99" i="5"/>
  <c r="C99" i="5"/>
  <c r="D100" i="5"/>
  <c r="C100" i="5"/>
  <c r="D101" i="5"/>
  <c r="C101" i="5"/>
  <c r="D102" i="5"/>
  <c r="C102" i="5"/>
  <c r="D103" i="5"/>
  <c r="C103" i="5"/>
  <c r="D104" i="5"/>
  <c r="C104" i="5"/>
  <c r="D105" i="5"/>
  <c r="C105" i="5"/>
  <c r="D106" i="5"/>
  <c r="C106" i="5"/>
  <c r="D107" i="5"/>
  <c r="C107" i="5"/>
  <c r="D108" i="5"/>
  <c r="C108" i="5"/>
  <c r="D109" i="5"/>
  <c r="C109" i="5"/>
  <c r="D110" i="5"/>
  <c r="C110" i="5"/>
  <c r="D111" i="5"/>
  <c r="C111" i="5"/>
  <c r="D112" i="5"/>
  <c r="C112" i="5"/>
  <c r="D113" i="5"/>
  <c r="C113" i="5"/>
  <c r="D114" i="5"/>
  <c r="C114" i="5"/>
  <c r="D115" i="5"/>
  <c r="C115" i="5"/>
  <c r="D116" i="5"/>
  <c r="C116" i="5"/>
  <c r="D117" i="5"/>
  <c r="C117" i="5"/>
  <c r="D118" i="5"/>
  <c r="C118" i="5"/>
  <c r="D119" i="5"/>
  <c r="C119" i="5"/>
  <c r="D120" i="5"/>
  <c r="C120" i="5"/>
  <c r="D121" i="5"/>
  <c r="C121" i="5"/>
  <c r="D122" i="5"/>
  <c r="C122" i="5"/>
  <c r="D123" i="5"/>
  <c r="C123" i="5"/>
  <c r="D124" i="5"/>
  <c r="C124" i="5"/>
  <c r="D125" i="5"/>
  <c r="C125" i="5"/>
  <c r="D126" i="5"/>
  <c r="C126" i="5"/>
  <c r="D127" i="5"/>
  <c r="C127" i="5"/>
  <c r="D128" i="5"/>
  <c r="C128" i="5"/>
  <c r="D129" i="5"/>
  <c r="C129" i="5"/>
  <c r="D130" i="5"/>
  <c r="C130" i="5"/>
  <c r="D131" i="5"/>
  <c r="C131" i="5"/>
  <c r="C9" i="6"/>
  <c r="B24" i="3"/>
  <c r="A63" i="3"/>
  <c r="B45" i="3"/>
  <c r="B42" i="3"/>
  <c r="B41" i="3"/>
  <c r="B50" i="3"/>
  <c r="C49" i="3"/>
  <c r="C72" i="3"/>
  <c r="H67" i="3"/>
  <c r="G67" i="3"/>
  <c r="D72" i="3"/>
  <c r="F67" i="3"/>
  <c r="H68" i="3"/>
  <c r="G68" i="3"/>
  <c r="F68" i="3"/>
  <c r="H69" i="3"/>
  <c r="G69" i="3"/>
  <c r="F69" i="3"/>
  <c r="H70" i="3"/>
  <c r="G70" i="3"/>
  <c r="F70" i="3"/>
  <c r="H71" i="3"/>
  <c r="G71" i="3"/>
  <c r="F71" i="3"/>
  <c r="E77" i="3"/>
  <c r="E78" i="3"/>
  <c r="E81" i="3"/>
  <c r="E82" i="3"/>
  <c r="E83" i="3"/>
  <c r="E84" i="3"/>
  <c r="E88" i="3"/>
  <c r="E89" i="3"/>
  <c r="G93" i="3"/>
  <c r="F93" i="3"/>
  <c r="E93" i="3"/>
  <c r="C93" i="3"/>
  <c r="B93" i="3"/>
  <c r="G94" i="3"/>
  <c r="F94" i="3"/>
  <c r="E94" i="3"/>
  <c r="C94" i="3"/>
  <c r="B94" i="3"/>
  <c r="G95" i="3"/>
  <c r="F95" i="3"/>
  <c r="E95" i="3"/>
  <c r="C95" i="3"/>
  <c r="B95" i="3"/>
  <c r="G96" i="3"/>
  <c r="F96" i="3"/>
  <c r="E96" i="3"/>
  <c r="C96" i="3"/>
  <c r="B96" i="3"/>
  <c r="G97" i="3"/>
  <c r="F97" i="3"/>
  <c r="E97" i="3"/>
  <c r="C97" i="3"/>
  <c r="B97" i="3"/>
  <c r="G98" i="3"/>
  <c r="F98" i="3"/>
  <c r="E98" i="3"/>
  <c r="C98" i="3"/>
  <c r="B98" i="3"/>
  <c r="G99" i="3"/>
  <c r="F99" i="3"/>
  <c r="E99" i="3"/>
  <c r="C99" i="3"/>
  <c r="B99" i="3"/>
  <c r="G100" i="3"/>
  <c r="F100" i="3"/>
  <c r="E100" i="3"/>
  <c r="C100" i="3"/>
  <c r="B100" i="3"/>
  <c r="G101" i="3"/>
  <c r="F101" i="3"/>
  <c r="E101" i="3"/>
  <c r="C101" i="3"/>
  <c r="B101" i="3"/>
  <c r="G102" i="3"/>
  <c r="F102" i="3"/>
  <c r="E102" i="3"/>
  <c r="H102" i="3" s="1"/>
  <c r="C102" i="3"/>
  <c r="B102" i="3"/>
  <c r="A189" i="3"/>
  <c r="I112" i="3"/>
  <c r="H112" i="3"/>
  <c r="F112" i="3"/>
  <c r="E112" i="3"/>
  <c r="B112" i="3"/>
  <c r="A190" i="3"/>
  <c r="I113" i="3"/>
  <c r="J113" i="3" s="1"/>
  <c r="H113" i="3"/>
  <c r="F113" i="3"/>
  <c r="E113" i="3"/>
  <c r="A191" i="3"/>
  <c r="I114" i="3"/>
  <c r="J114" i="3" s="1"/>
  <c r="H114" i="3"/>
  <c r="F114" i="3"/>
  <c r="E114" i="3"/>
  <c r="B114" i="3"/>
  <c r="A192" i="3"/>
  <c r="I115" i="3"/>
  <c r="J115" i="3" s="1"/>
  <c r="H115" i="3"/>
  <c r="F115" i="3"/>
  <c r="E115" i="3"/>
  <c r="B115" i="3"/>
  <c r="A193" i="3"/>
  <c r="I116" i="3"/>
  <c r="J116" i="3" s="1"/>
  <c r="H116" i="3"/>
  <c r="F116" i="3"/>
  <c r="E116" i="3"/>
  <c r="B116" i="3"/>
  <c r="A194" i="3"/>
  <c r="I117" i="3"/>
  <c r="J117" i="3" s="1"/>
  <c r="H117" i="3"/>
  <c r="F117" i="3"/>
  <c r="E117" i="3"/>
  <c r="B117" i="3"/>
  <c r="A195" i="3"/>
  <c r="I118" i="3"/>
  <c r="J118" i="3" s="1"/>
  <c r="H118" i="3"/>
  <c r="F118" i="3"/>
  <c r="E118" i="3"/>
  <c r="B118" i="3"/>
  <c r="A196" i="3"/>
  <c r="I119" i="3"/>
  <c r="J119" i="3" s="1"/>
  <c r="H119" i="3"/>
  <c r="F119" i="3"/>
  <c r="E119" i="3"/>
  <c r="B119" i="3"/>
  <c r="A197" i="3"/>
  <c r="I120" i="3"/>
  <c r="J120" i="3" s="1"/>
  <c r="H120" i="3"/>
  <c r="F120" i="3"/>
  <c r="E120" i="3"/>
  <c r="B120" i="3"/>
  <c r="A198" i="3"/>
  <c r="I121" i="3"/>
  <c r="J121" i="3" s="1"/>
  <c r="H121" i="3"/>
  <c r="F121" i="3"/>
  <c r="E121" i="3"/>
  <c r="B121" i="3"/>
  <c r="A199" i="3"/>
  <c r="I122" i="3"/>
  <c r="J122" i="3" s="1"/>
  <c r="H122" i="3"/>
  <c r="F122" i="3"/>
  <c r="E122" i="3"/>
  <c r="B122" i="3"/>
  <c r="A200" i="3"/>
  <c r="I123" i="3"/>
  <c r="J123" i="3" s="1"/>
  <c r="H123" i="3"/>
  <c r="F123" i="3"/>
  <c r="E123" i="3"/>
  <c r="B123" i="3"/>
  <c r="A201" i="3"/>
  <c r="I124" i="3"/>
  <c r="J124" i="3" s="1"/>
  <c r="H124" i="3"/>
  <c r="F124" i="3"/>
  <c r="E124" i="3"/>
  <c r="B124" i="3"/>
  <c r="A202" i="3"/>
  <c r="I125" i="3"/>
  <c r="J125" i="3" s="1"/>
  <c r="H125" i="3"/>
  <c r="F125" i="3"/>
  <c r="E125" i="3"/>
  <c r="B125" i="3"/>
  <c r="A203" i="3"/>
  <c r="I126" i="3"/>
  <c r="J126" i="3" s="1"/>
  <c r="H126" i="3"/>
  <c r="F126" i="3"/>
  <c r="E126" i="3"/>
  <c r="B126" i="3"/>
  <c r="A204" i="3"/>
  <c r="I127" i="3"/>
  <c r="J127" i="3" s="1"/>
  <c r="H127" i="3"/>
  <c r="F127" i="3"/>
  <c r="E127" i="3"/>
  <c r="B127" i="3"/>
  <c r="A205" i="3"/>
  <c r="I128" i="3"/>
  <c r="J128" i="3" s="1"/>
  <c r="H128" i="3"/>
  <c r="F128" i="3"/>
  <c r="E128" i="3"/>
  <c r="B128" i="3"/>
  <c r="A206" i="3"/>
  <c r="I129" i="3"/>
  <c r="J129" i="3" s="1"/>
  <c r="H129" i="3"/>
  <c r="F129" i="3"/>
  <c r="E129" i="3"/>
  <c r="B129" i="3"/>
  <c r="A207" i="3"/>
  <c r="I130" i="3"/>
  <c r="J130" i="3" s="1"/>
  <c r="H130" i="3"/>
  <c r="F130" i="3"/>
  <c r="E130" i="3"/>
  <c r="B130" i="3"/>
  <c r="A208" i="3"/>
  <c r="I131" i="3"/>
  <c r="J131" i="3" s="1"/>
  <c r="H131" i="3"/>
  <c r="F131" i="3"/>
  <c r="E131" i="3"/>
  <c r="B131" i="3"/>
  <c r="A209" i="3"/>
  <c r="I132" i="3"/>
  <c r="J132" i="3" s="1"/>
  <c r="H132" i="3"/>
  <c r="F132" i="3"/>
  <c r="E132" i="3"/>
  <c r="B132" i="3"/>
  <c r="A210" i="3"/>
  <c r="I133" i="3"/>
  <c r="J133" i="3" s="1"/>
  <c r="H133" i="3"/>
  <c r="F133" i="3"/>
  <c r="E133" i="3"/>
  <c r="B133" i="3"/>
  <c r="A211" i="3"/>
  <c r="I134" i="3"/>
  <c r="J134" i="3" s="1"/>
  <c r="H134" i="3"/>
  <c r="F134" i="3"/>
  <c r="E134" i="3"/>
  <c r="B134" i="3"/>
  <c r="A212" i="3"/>
  <c r="I135" i="3"/>
  <c r="J135" i="3" s="1"/>
  <c r="H135" i="3"/>
  <c r="F135" i="3"/>
  <c r="E135" i="3"/>
  <c r="B135" i="3"/>
  <c r="A213" i="3"/>
  <c r="I136" i="3"/>
  <c r="J136" i="3" s="1"/>
  <c r="H136" i="3"/>
  <c r="F136" i="3"/>
  <c r="E136" i="3"/>
  <c r="B136" i="3"/>
  <c r="A214" i="3"/>
  <c r="I137" i="3"/>
  <c r="J137" i="3" s="1"/>
  <c r="H137" i="3"/>
  <c r="F137" i="3"/>
  <c r="E137" i="3"/>
  <c r="B137" i="3"/>
  <c r="A215" i="3"/>
  <c r="I138" i="3"/>
  <c r="J138" i="3" s="1"/>
  <c r="H138" i="3"/>
  <c r="F138" i="3"/>
  <c r="E138" i="3"/>
  <c r="B138" i="3"/>
  <c r="A216" i="3"/>
  <c r="I139" i="3"/>
  <c r="J139" i="3" s="1"/>
  <c r="H139" i="3"/>
  <c r="F139" i="3"/>
  <c r="E139" i="3"/>
  <c r="B139" i="3"/>
  <c r="A217" i="3"/>
  <c r="I140" i="3"/>
  <c r="J140" i="3" s="1"/>
  <c r="H140" i="3"/>
  <c r="F140" i="3"/>
  <c r="E140" i="3"/>
  <c r="B140" i="3"/>
  <c r="A218" i="3"/>
  <c r="I141" i="3"/>
  <c r="J141" i="3" s="1"/>
  <c r="H141" i="3"/>
  <c r="F141" i="3"/>
  <c r="E141" i="3"/>
  <c r="B141" i="3"/>
  <c r="A219" i="3"/>
  <c r="I142" i="3"/>
  <c r="J142" i="3" s="1"/>
  <c r="H142" i="3"/>
  <c r="F142" i="3"/>
  <c r="E142" i="3"/>
  <c r="B142" i="3"/>
  <c r="A220" i="3"/>
  <c r="I143" i="3"/>
  <c r="J143" i="3" s="1"/>
  <c r="H143" i="3"/>
  <c r="F143" i="3"/>
  <c r="E143" i="3"/>
  <c r="B143" i="3"/>
  <c r="A221" i="3"/>
  <c r="I144" i="3"/>
  <c r="J144" i="3" s="1"/>
  <c r="H144" i="3"/>
  <c r="F144" i="3"/>
  <c r="E144" i="3"/>
  <c r="B144" i="3"/>
  <c r="A222" i="3"/>
  <c r="I145" i="3"/>
  <c r="J145" i="3" s="1"/>
  <c r="H145" i="3"/>
  <c r="F145" i="3"/>
  <c r="E145" i="3"/>
  <c r="B145" i="3"/>
  <c r="A223" i="3"/>
  <c r="I146" i="3"/>
  <c r="J146" i="3" s="1"/>
  <c r="H146" i="3"/>
  <c r="F146" i="3"/>
  <c r="E146" i="3"/>
  <c r="B146" i="3"/>
  <c r="A224" i="3"/>
  <c r="I147" i="3"/>
  <c r="J147" i="3" s="1"/>
  <c r="H147" i="3"/>
  <c r="F147" i="3"/>
  <c r="E147" i="3"/>
  <c r="B147" i="3"/>
  <c r="A225" i="3"/>
  <c r="I148" i="3"/>
  <c r="J148" i="3" s="1"/>
  <c r="H148" i="3"/>
  <c r="F148" i="3"/>
  <c r="E148" i="3"/>
  <c r="B148" i="3"/>
  <c r="A226" i="3"/>
  <c r="I149" i="3"/>
  <c r="J149" i="3" s="1"/>
  <c r="H149" i="3"/>
  <c r="F149" i="3"/>
  <c r="E149" i="3"/>
  <c r="B149" i="3"/>
  <c r="A227" i="3"/>
  <c r="I150" i="3"/>
  <c r="J150" i="3" s="1"/>
  <c r="H150" i="3"/>
  <c r="F150" i="3"/>
  <c r="E150" i="3"/>
  <c r="B150" i="3"/>
  <c r="A228" i="3"/>
  <c r="I151" i="3"/>
  <c r="J151" i="3" s="1"/>
  <c r="H151" i="3"/>
  <c r="F151" i="3"/>
  <c r="E151" i="3"/>
  <c r="B151" i="3"/>
  <c r="A229" i="3"/>
  <c r="I152" i="3"/>
  <c r="J152" i="3" s="1"/>
  <c r="H152" i="3"/>
  <c r="F152" i="3"/>
  <c r="E152" i="3"/>
  <c r="B152" i="3"/>
  <c r="A230" i="3"/>
  <c r="I153" i="3"/>
  <c r="J153" i="3" s="1"/>
  <c r="H153" i="3"/>
  <c r="F153" i="3"/>
  <c r="E153" i="3"/>
  <c r="B153" i="3"/>
  <c r="A231" i="3"/>
  <c r="I154" i="3"/>
  <c r="J154" i="3" s="1"/>
  <c r="H154" i="3"/>
  <c r="F154" i="3"/>
  <c r="E154" i="3"/>
  <c r="B154" i="3"/>
  <c r="A232" i="3"/>
  <c r="I155" i="3"/>
  <c r="J155" i="3" s="1"/>
  <c r="H155" i="3"/>
  <c r="F155" i="3"/>
  <c r="E155" i="3"/>
  <c r="B155" i="3"/>
  <c r="A233" i="3"/>
  <c r="I156" i="3"/>
  <c r="J156" i="3" s="1"/>
  <c r="H156" i="3"/>
  <c r="F156" i="3"/>
  <c r="E156" i="3"/>
  <c r="B156" i="3"/>
  <c r="A234" i="3"/>
  <c r="I157" i="3"/>
  <c r="J157" i="3" s="1"/>
  <c r="H157" i="3"/>
  <c r="F157" i="3"/>
  <c r="E157" i="3"/>
  <c r="B157" i="3"/>
  <c r="A235" i="3"/>
  <c r="I158" i="3"/>
  <c r="J158" i="3" s="1"/>
  <c r="H158" i="3"/>
  <c r="F158" i="3"/>
  <c r="E158" i="3"/>
  <c r="B158" i="3"/>
  <c r="A236" i="3"/>
  <c r="I159" i="3"/>
  <c r="J159" i="3" s="1"/>
  <c r="H159" i="3"/>
  <c r="F159" i="3"/>
  <c r="E159" i="3"/>
  <c r="B159" i="3"/>
  <c r="A237" i="3"/>
  <c r="I160" i="3"/>
  <c r="J160" i="3" s="1"/>
  <c r="H160" i="3"/>
  <c r="F160" i="3"/>
  <c r="E160" i="3"/>
  <c r="B160" i="3"/>
  <c r="A238" i="3"/>
  <c r="I161" i="3"/>
  <c r="J161" i="3" s="1"/>
  <c r="H161" i="3"/>
  <c r="F161" i="3"/>
  <c r="E161" i="3"/>
  <c r="B161" i="3"/>
  <c r="B272" i="3"/>
  <c r="B270" i="3"/>
  <c r="B271" i="3" s="1"/>
  <c r="E262" i="3"/>
  <c r="D262" i="3"/>
  <c r="C262" i="3"/>
  <c r="B262" i="3"/>
  <c r="D283" i="3"/>
  <c r="C283" i="3"/>
  <c r="C296" i="3" s="1"/>
  <c r="B283" i="3"/>
  <c r="C295" i="3" s="1"/>
  <c r="D282" i="3"/>
  <c r="C282" i="3"/>
  <c r="B296" i="3" s="1"/>
  <c r="B282" i="3"/>
  <c r="E295" i="3" s="1"/>
  <c r="F295" i="3" s="1"/>
  <c r="D281" i="3"/>
  <c r="C281" i="3"/>
  <c r="B290" i="3" s="1"/>
  <c r="B281" i="3"/>
  <c r="D280" i="3"/>
  <c r="C300" i="3" s="1"/>
  <c r="C280" i="3"/>
  <c r="C301" i="3" s="1"/>
  <c r="B280" i="3"/>
  <c r="C302" i="3" s="1"/>
  <c r="D302" i="3" s="1"/>
  <c r="E302" i="3" s="1"/>
  <c r="D279" i="3"/>
  <c r="B300" i="3" s="1"/>
  <c r="C279" i="3"/>
  <c r="B301" i="3" s="1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A562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A560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A559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A556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A555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A554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A553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A552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A551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A549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A548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A547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A544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A543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A541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A539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A538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A535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533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A529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A528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A524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516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A504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A499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A498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A496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A484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A473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A456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A444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A428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A417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B11" i="4"/>
  <c r="E6" i="4"/>
  <c r="E11" i="4" s="1"/>
  <c r="B49" i="4"/>
  <c r="C46" i="4"/>
  <c r="C47" i="4"/>
  <c r="C48" i="4"/>
  <c r="C49" i="4" l="1"/>
  <c r="G301" i="3"/>
  <c r="F301" i="3"/>
  <c r="D301" i="3"/>
  <c r="E301" i="3" s="1"/>
  <c r="G300" i="3"/>
  <c r="F300" i="3"/>
  <c r="D300" i="3"/>
  <c r="E300" i="3" s="1"/>
  <c r="B289" i="3"/>
  <c r="B288" i="3"/>
  <c r="B287" i="3"/>
  <c r="B297" i="3"/>
  <c r="G302" i="3"/>
  <c r="F302" i="3"/>
  <c r="C297" i="3"/>
  <c r="D295" i="3"/>
  <c r="D296" i="3"/>
  <c r="C41" i="6"/>
  <c r="B264" i="3"/>
  <c r="B263" i="3"/>
  <c r="C264" i="3"/>
  <c r="C263" i="3"/>
  <c r="D264" i="3"/>
  <c r="D263" i="3"/>
  <c r="E264" i="3"/>
  <c r="E263" i="3"/>
  <c r="D161" i="3"/>
  <c r="C161" i="3"/>
  <c r="B131" i="5"/>
  <c r="L161" i="3"/>
  <c r="G161" i="3"/>
  <c r="K161" i="3"/>
  <c r="C238" i="3"/>
  <c r="D238" i="3" s="1"/>
  <c r="B238" i="3"/>
  <c r="D160" i="3"/>
  <c r="C160" i="3"/>
  <c r="B130" i="5"/>
  <c r="L160" i="3"/>
  <c r="G160" i="3"/>
  <c r="K160" i="3"/>
  <c r="C237" i="3"/>
  <c r="D237" i="3" s="1"/>
  <c r="B237" i="3"/>
  <c r="D159" i="3"/>
  <c r="C159" i="3"/>
  <c r="B129" i="5"/>
  <c r="L159" i="3"/>
  <c r="G159" i="3"/>
  <c r="K159" i="3"/>
  <c r="C236" i="3"/>
  <c r="B236" i="3"/>
  <c r="D158" i="3"/>
  <c r="C158" i="3"/>
  <c r="B128" i="5"/>
  <c r="L158" i="3"/>
  <c r="G158" i="3"/>
  <c r="K158" i="3"/>
  <c r="C235" i="3"/>
  <c r="D235" i="3" s="1"/>
  <c r="B235" i="3"/>
  <c r="D157" i="3"/>
  <c r="C157" i="3"/>
  <c r="B127" i="5"/>
  <c r="L157" i="3"/>
  <c r="G157" i="3"/>
  <c r="K157" i="3"/>
  <c r="C234" i="3"/>
  <c r="B234" i="3"/>
  <c r="D156" i="3"/>
  <c r="C156" i="3"/>
  <c r="B126" i="5"/>
  <c r="L156" i="3"/>
  <c r="G156" i="3"/>
  <c r="K156" i="3"/>
  <c r="C233" i="3"/>
  <c r="D233" i="3" s="1"/>
  <c r="B233" i="3"/>
  <c r="D155" i="3"/>
  <c r="C155" i="3"/>
  <c r="B125" i="5"/>
  <c r="L155" i="3"/>
  <c r="G155" i="3"/>
  <c r="K155" i="3"/>
  <c r="C232" i="3"/>
  <c r="B232" i="3"/>
  <c r="D154" i="3"/>
  <c r="C154" i="3"/>
  <c r="B124" i="5"/>
  <c r="L154" i="3"/>
  <c r="G154" i="3"/>
  <c r="K154" i="3"/>
  <c r="C231" i="3"/>
  <c r="D231" i="3" s="1"/>
  <c r="B231" i="3"/>
  <c r="D153" i="3"/>
  <c r="C153" i="3"/>
  <c r="B123" i="5"/>
  <c r="L153" i="3"/>
  <c r="G153" i="3"/>
  <c r="K153" i="3"/>
  <c r="C230" i="3"/>
  <c r="B230" i="3"/>
  <c r="D152" i="3"/>
  <c r="C152" i="3"/>
  <c r="B122" i="5"/>
  <c r="L152" i="3"/>
  <c r="G152" i="3"/>
  <c r="K152" i="3"/>
  <c r="C229" i="3"/>
  <c r="B229" i="3"/>
  <c r="D151" i="3"/>
  <c r="C151" i="3"/>
  <c r="B121" i="5"/>
  <c r="L151" i="3"/>
  <c r="G151" i="3"/>
  <c r="K151" i="3"/>
  <c r="C228" i="3"/>
  <c r="D228" i="3" s="1"/>
  <c r="B228" i="3"/>
  <c r="D150" i="3"/>
  <c r="C150" i="3"/>
  <c r="B120" i="5"/>
  <c r="L150" i="3"/>
  <c r="G150" i="3"/>
  <c r="K150" i="3"/>
  <c r="C227" i="3"/>
  <c r="B227" i="3"/>
  <c r="D149" i="3"/>
  <c r="C149" i="3"/>
  <c r="B119" i="5"/>
  <c r="L149" i="3"/>
  <c r="G149" i="3"/>
  <c r="K149" i="3"/>
  <c r="C226" i="3"/>
  <c r="D226" i="3" s="1"/>
  <c r="B226" i="3"/>
  <c r="D148" i="3"/>
  <c r="C148" i="3"/>
  <c r="B118" i="5"/>
  <c r="L148" i="3"/>
  <c r="G148" i="3"/>
  <c r="K148" i="3"/>
  <c r="C225" i="3"/>
  <c r="B225" i="3"/>
  <c r="D147" i="3"/>
  <c r="C147" i="3"/>
  <c r="B117" i="5"/>
  <c r="L147" i="3"/>
  <c r="G147" i="3"/>
  <c r="K147" i="3"/>
  <c r="C224" i="3"/>
  <c r="B224" i="3"/>
  <c r="D146" i="3"/>
  <c r="C146" i="3"/>
  <c r="B116" i="5"/>
  <c r="L146" i="3"/>
  <c r="G146" i="3"/>
  <c r="K146" i="3"/>
  <c r="C223" i="3"/>
  <c r="D223" i="3" s="1"/>
  <c r="B223" i="3"/>
  <c r="D145" i="3"/>
  <c r="C145" i="3"/>
  <c r="B115" i="5"/>
  <c r="L145" i="3"/>
  <c r="G145" i="3"/>
  <c r="K145" i="3"/>
  <c r="C222" i="3"/>
  <c r="B222" i="3"/>
  <c r="D144" i="3"/>
  <c r="C144" i="3"/>
  <c r="B114" i="5"/>
  <c r="L144" i="3"/>
  <c r="G144" i="3"/>
  <c r="K144" i="3"/>
  <c r="C221" i="3"/>
  <c r="B221" i="3"/>
  <c r="D143" i="3"/>
  <c r="C143" i="3"/>
  <c r="B113" i="5"/>
  <c r="L143" i="3"/>
  <c r="G143" i="3"/>
  <c r="K143" i="3"/>
  <c r="C220" i="3"/>
  <c r="B220" i="3"/>
  <c r="D142" i="3"/>
  <c r="C142" i="3"/>
  <c r="B112" i="5"/>
  <c r="L142" i="3"/>
  <c r="G142" i="3"/>
  <c r="K142" i="3"/>
  <c r="C219" i="3"/>
  <c r="B219" i="3"/>
  <c r="D141" i="3"/>
  <c r="C141" i="3"/>
  <c r="B111" i="5"/>
  <c r="L141" i="3"/>
  <c r="G141" i="3"/>
  <c r="K141" i="3"/>
  <c r="C218" i="3"/>
  <c r="B218" i="3"/>
  <c r="D140" i="3"/>
  <c r="C140" i="3"/>
  <c r="B110" i="5"/>
  <c r="L140" i="3"/>
  <c r="G140" i="3"/>
  <c r="K140" i="3"/>
  <c r="C217" i="3"/>
  <c r="B217" i="3"/>
  <c r="D139" i="3"/>
  <c r="C139" i="3"/>
  <c r="B109" i="5"/>
  <c r="L139" i="3"/>
  <c r="G139" i="3"/>
  <c r="K139" i="3"/>
  <c r="C216" i="3"/>
  <c r="B216" i="3"/>
  <c r="D138" i="3"/>
  <c r="C138" i="3"/>
  <c r="B108" i="5"/>
  <c r="L138" i="3"/>
  <c r="G138" i="3"/>
  <c r="K138" i="3"/>
  <c r="C215" i="3"/>
  <c r="D215" i="3" s="1"/>
  <c r="B215" i="3"/>
  <c r="D137" i="3"/>
  <c r="C137" i="3"/>
  <c r="B107" i="5"/>
  <c r="L137" i="3"/>
  <c r="G137" i="3"/>
  <c r="K137" i="3"/>
  <c r="C214" i="3"/>
  <c r="B214" i="3"/>
  <c r="D136" i="3"/>
  <c r="C136" i="3"/>
  <c r="B106" i="5"/>
  <c r="L136" i="3"/>
  <c r="G136" i="3"/>
  <c r="K136" i="3"/>
  <c r="C213" i="3"/>
  <c r="B213" i="3"/>
  <c r="D135" i="3"/>
  <c r="C135" i="3"/>
  <c r="B105" i="5"/>
  <c r="L135" i="3"/>
  <c r="G135" i="3"/>
  <c r="K135" i="3"/>
  <c r="C212" i="3"/>
  <c r="B212" i="3"/>
  <c r="D134" i="3"/>
  <c r="C134" i="3"/>
  <c r="B104" i="5"/>
  <c r="L134" i="3"/>
  <c r="G134" i="3"/>
  <c r="K134" i="3"/>
  <c r="C211" i="3"/>
  <c r="B211" i="3"/>
  <c r="D133" i="3"/>
  <c r="C133" i="3"/>
  <c r="B103" i="5"/>
  <c r="L133" i="3"/>
  <c r="G133" i="3"/>
  <c r="K133" i="3"/>
  <c r="C210" i="3"/>
  <c r="B210" i="3"/>
  <c r="D132" i="3"/>
  <c r="C132" i="3"/>
  <c r="B102" i="5"/>
  <c r="L132" i="3"/>
  <c r="G132" i="3"/>
  <c r="K132" i="3"/>
  <c r="C209" i="3"/>
  <c r="B209" i="3"/>
  <c r="D131" i="3"/>
  <c r="C131" i="3"/>
  <c r="B101" i="5"/>
  <c r="L131" i="3"/>
  <c r="G131" i="3"/>
  <c r="K131" i="3"/>
  <c r="C208" i="3"/>
  <c r="B208" i="3"/>
  <c r="D130" i="3"/>
  <c r="C130" i="3"/>
  <c r="B100" i="5"/>
  <c r="L130" i="3"/>
  <c r="G130" i="3"/>
  <c r="K130" i="3"/>
  <c r="C207" i="3"/>
  <c r="B207" i="3"/>
  <c r="D129" i="3"/>
  <c r="C129" i="3"/>
  <c r="B99" i="5"/>
  <c r="L129" i="3"/>
  <c r="G129" i="3"/>
  <c r="K129" i="3"/>
  <c r="C206" i="3"/>
  <c r="D206" i="3" s="1"/>
  <c r="B206" i="3"/>
  <c r="D128" i="3"/>
  <c r="C128" i="3"/>
  <c r="B98" i="5"/>
  <c r="L128" i="3"/>
  <c r="G128" i="3"/>
  <c r="K128" i="3"/>
  <c r="C205" i="3"/>
  <c r="B205" i="3"/>
  <c r="D127" i="3"/>
  <c r="C127" i="3"/>
  <c r="B97" i="5"/>
  <c r="L127" i="3"/>
  <c r="G127" i="3"/>
  <c r="K127" i="3"/>
  <c r="C204" i="3"/>
  <c r="B204" i="3"/>
  <c r="D126" i="3"/>
  <c r="C126" i="3"/>
  <c r="B96" i="5"/>
  <c r="L126" i="3"/>
  <c r="G126" i="3"/>
  <c r="K126" i="3"/>
  <c r="C203" i="3"/>
  <c r="B203" i="3"/>
  <c r="D125" i="3"/>
  <c r="C125" i="3"/>
  <c r="B95" i="5"/>
  <c r="L125" i="3"/>
  <c r="G125" i="3"/>
  <c r="K125" i="3"/>
  <c r="C202" i="3"/>
  <c r="B202" i="3"/>
  <c r="D124" i="3"/>
  <c r="C124" i="3"/>
  <c r="B94" i="5"/>
  <c r="L124" i="3"/>
  <c r="G124" i="3"/>
  <c r="K124" i="3"/>
  <c r="C201" i="3"/>
  <c r="D201" i="3" s="1"/>
  <c r="B201" i="3"/>
  <c r="D123" i="3"/>
  <c r="C123" i="3"/>
  <c r="B93" i="5"/>
  <c r="L123" i="3"/>
  <c r="G123" i="3"/>
  <c r="K123" i="3"/>
  <c r="C200" i="3"/>
  <c r="B200" i="3"/>
  <c r="D122" i="3"/>
  <c r="C122" i="3"/>
  <c r="B92" i="5"/>
  <c r="L122" i="3"/>
  <c r="G122" i="3"/>
  <c r="K122" i="3"/>
  <c r="C199" i="3"/>
  <c r="D199" i="3" s="1"/>
  <c r="B199" i="3"/>
  <c r="D121" i="3"/>
  <c r="C121" i="3"/>
  <c r="B91" i="5"/>
  <c r="L121" i="3"/>
  <c r="G121" i="3"/>
  <c r="K121" i="3"/>
  <c r="C198" i="3"/>
  <c r="B198" i="3"/>
  <c r="D120" i="3"/>
  <c r="C120" i="3"/>
  <c r="B90" i="5"/>
  <c r="L120" i="3"/>
  <c r="G120" i="3"/>
  <c r="K120" i="3"/>
  <c r="C197" i="3"/>
  <c r="B197" i="3"/>
  <c r="D119" i="3"/>
  <c r="C119" i="3"/>
  <c r="B89" i="5"/>
  <c r="L119" i="3"/>
  <c r="G119" i="3"/>
  <c r="K119" i="3"/>
  <c r="C196" i="3"/>
  <c r="B196" i="3"/>
  <c r="D118" i="3"/>
  <c r="C118" i="3"/>
  <c r="B88" i="5"/>
  <c r="L118" i="3"/>
  <c r="G118" i="3"/>
  <c r="K118" i="3"/>
  <c r="C195" i="3"/>
  <c r="B195" i="3"/>
  <c r="D117" i="3"/>
  <c r="C117" i="3"/>
  <c r="B87" i="5"/>
  <c r="L117" i="3"/>
  <c r="G117" i="3"/>
  <c r="K117" i="3"/>
  <c r="C194" i="3"/>
  <c r="B194" i="3"/>
  <c r="D116" i="3"/>
  <c r="C116" i="3"/>
  <c r="B86" i="5"/>
  <c r="L116" i="3"/>
  <c r="G116" i="3"/>
  <c r="K116" i="3"/>
  <c r="C193" i="3"/>
  <c r="D193" i="3" s="1"/>
  <c r="B193" i="3"/>
  <c r="D115" i="3"/>
  <c r="C115" i="3"/>
  <c r="B85" i="5"/>
  <c r="L115" i="3"/>
  <c r="G115" i="3"/>
  <c r="K115" i="3"/>
  <c r="C192" i="3"/>
  <c r="B192" i="3"/>
  <c r="D114" i="3"/>
  <c r="C114" i="3"/>
  <c r="B84" i="5"/>
  <c r="L114" i="3"/>
  <c r="G114" i="3"/>
  <c r="K114" i="3"/>
  <c r="C191" i="3"/>
  <c r="B191" i="3"/>
  <c r="D113" i="3"/>
  <c r="C113" i="3"/>
  <c r="B83" i="5"/>
  <c r="L113" i="3"/>
  <c r="G113" i="3"/>
  <c r="K113" i="3"/>
  <c r="C190" i="3"/>
  <c r="B190" i="3"/>
  <c r="D112" i="3"/>
  <c r="C112" i="3"/>
  <c r="B82" i="5"/>
  <c r="E162" i="3"/>
  <c r="L112" i="3"/>
  <c r="B164" i="3" s="1"/>
  <c r="G112" i="3"/>
  <c r="B25" i="3"/>
  <c r="F162" i="3"/>
  <c r="I162" i="3" s="1"/>
  <c r="K112" i="3"/>
  <c r="D109" i="3"/>
  <c r="H162" i="3"/>
  <c r="B168" i="3"/>
  <c r="J112" i="3"/>
  <c r="C189" i="3"/>
  <c r="B189" i="3"/>
  <c r="G189" i="3" s="1"/>
  <c r="D102" i="3"/>
  <c r="H67" i="5"/>
  <c r="J102" i="3"/>
  <c r="I102" i="3"/>
  <c r="D101" i="3"/>
  <c r="H66" i="5"/>
  <c r="H101" i="3"/>
  <c r="J101" i="3"/>
  <c r="I101" i="3"/>
  <c r="D100" i="3"/>
  <c r="H65" i="5"/>
  <c r="H100" i="3"/>
  <c r="J100" i="3"/>
  <c r="I100" i="3"/>
  <c r="D99" i="3"/>
  <c r="H64" i="5"/>
  <c r="H99" i="3"/>
  <c r="J99" i="3"/>
  <c r="I99" i="3"/>
  <c r="D98" i="3"/>
  <c r="H63" i="5"/>
  <c r="H98" i="3"/>
  <c r="J98" i="3"/>
  <c r="I98" i="3"/>
  <c r="D97" i="3"/>
  <c r="H62" i="5"/>
  <c r="H97" i="3"/>
  <c r="J97" i="3"/>
  <c r="I97" i="3"/>
  <c r="D96" i="3"/>
  <c r="H61" i="5"/>
  <c r="H96" i="3"/>
  <c r="J96" i="3"/>
  <c r="I96" i="3"/>
  <c r="D95" i="3"/>
  <c r="H60" i="5"/>
  <c r="H95" i="3"/>
  <c r="J95" i="3"/>
  <c r="I95" i="3"/>
  <c r="D94" i="3"/>
  <c r="H59" i="5"/>
  <c r="H94" i="3"/>
  <c r="J94" i="3"/>
  <c r="I94" i="3"/>
  <c r="D93" i="3"/>
  <c r="H58" i="5"/>
  <c r="H93" i="3"/>
  <c r="J93" i="3"/>
  <c r="I93" i="3"/>
  <c r="C38" i="6"/>
  <c r="G72" i="3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C30" i="3"/>
  <c r="B30" i="3"/>
  <c r="C29" i="3"/>
  <c r="B29" i="3"/>
  <c r="B58" i="5"/>
  <c r="D26" i="4"/>
  <c r="C26" i="4"/>
  <c r="B26" i="4"/>
  <c r="F49" i="3"/>
  <c r="E49" i="3"/>
  <c r="D49" i="3"/>
  <c r="B51" i="3"/>
  <c r="C50" i="3"/>
  <c r="A50" i="3"/>
  <c r="B59" i="5"/>
  <c r="C12" i="6"/>
  <c r="G8" i="5"/>
  <c r="K17" i="5"/>
  <c r="K16" i="5"/>
  <c r="K15" i="5"/>
  <c r="K14" i="5"/>
  <c r="K13" i="5"/>
  <c r="B79" i="5"/>
  <c r="A79" i="5"/>
  <c r="B78" i="5"/>
  <c r="A78" i="5"/>
  <c r="B77" i="5"/>
  <c r="A77" i="5"/>
  <c r="B76" i="5"/>
  <c r="A76" i="5"/>
  <c r="B75" i="5"/>
  <c r="A75" i="5"/>
  <c r="H13" i="5" l="1"/>
  <c r="L13" i="5"/>
  <c r="H14" i="5"/>
  <c r="L14" i="5"/>
  <c r="H15" i="5"/>
  <c r="L15" i="5"/>
  <c r="H16" i="5"/>
  <c r="L16" i="5"/>
  <c r="H17" i="5"/>
  <c r="L17" i="5"/>
  <c r="A27" i="4"/>
  <c r="A59" i="5"/>
  <c r="D27" i="4"/>
  <c r="C27" i="4"/>
  <c r="B27" i="4"/>
  <c r="F50" i="3"/>
  <c r="E50" i="3"/>
  <c r="D50" i="3"/>
  <c r="B52" i="3"/>
  <c r="C51" i="3"/>
  <c r="A51" i="3"/>
  <c r="B60" i="5"/>
  <c r="H50" i="3"/>
  <c r="G50" i="3"/>
  <c r="H49" i="3"/>
  <c r="C36" i="6"/>
  <c r="C15" i="6"/>
  <c r="B46" i="6"/>
  <c r="C105" i="3"/>
  <c r="B105" i="3"/>
  <c r="F23" i="6"/>
  <c r="E23" i="6"/>
  <c r="F22" i="6"/>
  <c r="E22" i="6"/>
  <c r="F21" i="6"/>
  <c r="E21" i="6"/>
  <c r="F20" i="6"/>
  <c r="E20" i="6"/>
  <c r="F19" i="6"/>
  <c r="E19" i="6"/>
  <c r="C104" i="3"/>
  <c r="C27" i="3" s="1"/>
  <c r="B104" i="3"/>
  <c r="G190" i="3"/>
  <c r="D189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G181" i="3"/>
  <c r="F181" i="3"/>
  <c r="C181" i="3"/>
  <c r="B181" i="3"/>
  <c r="A75" i="4" s="1"/>
  <c r="G180" i="3"/>
  <c r="F180" i="3"/>
  <c r="C180" i="3"/>
  <c r="B180" i="3"/>
  <c r="A74" i="4" s="1"/>
  <c r="G179" i="3"/>
  <c r="F179" i="3"/>
  <c r="C179" i="3"/>
  <c r="B179" i="3"/>
  <c r="A73" i="4" s="1"/>
  <c r="G178" i="3"/>
  <c r="F178" i="3"/>
  <c r="C178" i="3"/>
  <c r="B178" i="3"/>
  <c r="A72" i="4" s="1"/>
  <c r="G177" i="3"/>
  <c r="F177" i="3"/>
  <c r="C177" i="3"/>
  <c r="B177" i="3"/>
  <c r="A71" i="4" s="1"/>
  <c r="G176" i="3"/>
  <c r="F176" i="3"/>
  <c r="C176" i="3"/>
  <c r="B176" i="3"/>
  <c r="G175" i="3"/>
  <c r="F175" i="3"/>
  <c r="C175" i="3"/>
  <c r="B175" i="3"/>
  <c r="G174" i="3"/>
  <c r="F174" i="3"/>
  <c r="C174" i="3"/>
  <c r="B174" i="3"/>
  <c r="G173" i="3"/>
  <c r="F173" i="3"/>
  <c r="C173" i="3"/>
  <c r="B173" i="3"/>
  <c r="G172" i="3"/>
  <c r="F172" i="3"/>
  <c r="C172" i="3"/>
  <c r="B172" i="3"/>
  <c r="C26" i="3"/>
  <c r="B26" i="3"/>
  <c r="C13" i="6" s="1"/>
  <c r="I8" i="5"/>
  <c r="B5" i="6"/>
  <c r="D190" i="3"/>
  <c r="D191" i="3"/>
  <c r="D192" i="3"/>
  <c r="D194" i="3"/>
  <c r="D195" i="3"/>
  <c r="D196" i="3"/>
  <c r="D197" i="3"/>
  <c r="D198" i="3"/>
  <c r="D200" i="3"/>
  <c r="D202" i="3"/>
  <c r="D203" i="3"/>
  <c r="D204" i="3"/>
  <c r="D205" i="3"/>
  <c r="D207" i="3"/>
  <c r="D208" i="3"/>
  <c r="D209" i="3"/>
  <c r="D210" i="3"/>
  <c r="D211" i="3"/>
  <c r="D212" i="3"/>
  <c r="D213" i="3"/>
  <c r="D214" i="3"/>
  <c r="D216" i="3"/>
  <c r="D217" i="3"/>
  <c r="D218" i="3"/>
  <c r="D219" i="3"/>
  <c r="D220" i="3"/>
  <c r="D221" i="3"/>
  <c r="D222" i="3"/>
  <c r="D224" i="3"/>
  <c r="D225" i="3"/>
  <c r="D227" i="3"/>
  <c r="D229" i="3"/>
  <c r="D230" i="3"/>
  <c r="D232" i="3"/>
  <c r="D234" i="3"/>
  <c r="D236" i="3"/>
  <c r="C40" i="6"/>
  <c r="A304" i="3"/>
  <c r="B19" i="6" l="1"/>
  <c r="A66" i="4"/>
  <c r="C19" i="6"/>
  <c r="B66" i="4"/>
  <c r="D172" i="3"/>
  <c r="B20" i="6"/>
  <c r="A67" i="4"/>
  <c r="C20" i="6"/>
  <c r="B67" i="4"/>
  <c r="D173" i="3"/>
  <c r="C67" i="4" s="1"/>
  <c r="B21" i="6"/>
  <c r="A68" i="4"/>
  <c r="C21" i="6"/>
  <c r="B68" i="4"/>
  <c r="D174" i="3"/>
  <c r="C68" i="4" s="1"/>
  <c r="B22" i="6"/>
  <c r="A69" i="4"/>
  <c r="C22" i="6"/>
  <c r="B69" i="4"/>
  <c r="D175" i="3"/>
  <c r="C69" i="4" s="1"/>
  <c r="B23" i="6"/>
  <c r="A70" i="4"/>
  <c r="C23" i="6"/>
  <c r="B70" i="4"/>
  <c r="D176" i="3"/>
  <c r="C70" i="4" s="1"/>
  <c r="B71" i="4"/>
  <c r="D177" i="3"/>
  <c r="C71" i="4" s="1"/>
  <c r="B72" i="4"/>
  <c r="D178" i="3"/>
  <c r="C72" i="4" s="1"/>
  <c r="B73" i="4"/>
  <c r="D179" i="3"/>
  <c r="C73" i="4" s="1"/>
  <c r="B74" i="4"/>
  <c r="D180" i="3"/>
  <c r="C74" i="4" s="1"/>
  <c r="B75" i="4"/>
  <c r="D181" i="3"/>
  <c r="C75" i="4" s="1"/>
  <c r="B166" i="3"/>
  <c r="B165" i="3"/>
  <c r="G191" i="3"/>
  <c r="B47" i="6" s="1"/>
  <c r="C39" i="6"/>
  <c r="B45" i="6"/>
  <c r="C35" i="6"/>
  <c r="C14" i="6"/>
  <c r="B27" i="3"/>
  <c r="A28" i="4"/>
  <c r="A60" i="5"/>
  <c r="D28" i="4"/>
  <c r="C28" i="4"/>
  <c r="B28" i="4"/>
  <c r="F51" i="3"/>
  <c r="E51" i="3"/>
  <c r="D51" i="3"/>
  <c r="B53" i="3"/>
  <c r="C52" i="3"/>
  <c r="A52" i="3"/>
  <c r="B61" i="5"/>
  <c r="G51" i="3"/>
  <c r="A29" i="4" l="1"/>
  <c r="A61" i="5"/>
  <c r="D29" i="4"/>
  <c r="C29" i="4"/>
  <c r="B29" i="4"/>
  <c r="F52" i="3"/>
  <c r="E52" i="3"/>
  <c r="D52" i="3"/>
  <c r="B54" i="3"/>
  <c r="C53" i="3"/>
  <c r="A53" i="3"/>
  <c r="B62" i="5"/>
  <c r="G52" i="3"/>
  <c r="H52" i="3"/>
  <c r="H51" i="3"/>
  <c r="B44" i="6"/>
  <c r="C34" i="6"/>
  <c r="C66" i="4"/>
  <c r="E181" i="3"/>
  <c r="E180" i="3"/>
  <c r="E179" i="3"/>
  <c r="E178" i="3"/>
  <c r="E177" i="3"/>
  <c r="E176" i="3"/>
  <c r="E175" i="3"/>
  <c r="E174" i="3"/>
  <c r="E173" i="3"/>
  <c r="E172" i="3"/>
  <c r="A30" i="4" l="1"/>
  <c r="A62" i="5"/>
  <c r="D30" i="4"/>
  <c r="C30" i="4"/>
  <c r="B30" i="4"/>
  <c r="F53" i="3"/>
  <c r="E53" i="3"/>
  <c r="D53" i="3"/>
  <c r="B55" i="3"/>
  <c r="C54" i="3"/>
  <c r="A54" i="3"/>
  <c r="B63" i="5"/>
  <c r="G53" i="3"/>
  <c r="A31" i="4" l="1"/>
  <c r="A63" i="5"/>
  <c r="D31" i="4"/>
  <c r="C31" i="4"/>
  <c r="B31" i="4"/>
  <c r="F54" i="3"/>
  <c r="E54" i="3"/>
  <c r="D54" i="3"/>
  <c r="B56" i="3"/>
  <c r="C55" i="3"/>
  <c r="A55" i="3"/>
  <c r="B64" i="5"/>
  <c r="G54" i="3"/>
  <c r="H54" i="3"/>
  <c r="H53" i="3"/>
  <c r="A32" i="4" l="1"/>
  <c r="A64" i="5"/>
  <c r="D32" i="4"/>
  <c r="C32" i="4"/>
  <c r="B32" i="4"/>
  <c r="F55" i="3"/>
  <c r="E55" i="3"/>
  <c r="D55" i="3"/>
  <c r="B57" i="3"/>
  <c r="C56" i="3"/>
  <c r="A56" i="3"/>
  <c r="B65" i="5"/>
  <c r="G55" i="3"/>
  <c r="A33" i="4" l="1"/>
  <c r="A65" i="5"/>
  <c r="D33" i="4"/>
  <c r="C33" i="4"/>
  <c r="B33" i="4"/>
  <c r="F56" i="3"/>
  <c r="E56" i="3"/>
  <c r="D56" i="3"/>
  <c r="B58" i="3"/>
  <c r="C57" i="3"/>
  <c r="A57" i="3"/>
  <c r="B66" i="5"/>
  <c r="G56" i="3"/>
  <c r="H56" i="3"/>
  <c r="H55" i="3"/>
  <c r="A34" i="4" l="1"/>
  <c r="A66" i="5"/>
  <c r="D34" i="4"/>
  <c r="C34" i="4"/>
  <c r="B34" i="4"/>
  <c r="F57" i="3"/>
  <c r="E57" i="3"/>
  <c r="D57" i="3"/>
  <c r="B59" i="3"/>
  <c r="C58" i="3"/>
  <c r="A58" i="3"/>
  <c r="B67" i="5"/>
  <c r="G57" i="3"/>
  <c r="A35" i="4" l="1"/>
  <c r="A67" i="5"/>
  <c r="D35" i="4"/>
  <c r="C35" i="4"/>
  <c r="B35" i="4"/>
  <c r="F58" i="3"/>
  <c r="E58" i="3"/>
  <c r="D58" i="3"/>
  <c r="B60" i="3"/>
  <c r="C59" i="3"/>
  <c r="A59" i="3"/>
  <c r="B68" i="5"/>
  <c r="G58" i="3"/>
  <c r="H58" i="3"/>
  <c r="H57" i="3"/>
  <c r="A36" i="4" l="1"/>
  <c r="A68" i="5"/>
  <c r="D36" i="4"/>
  <c r="C36" i="4"/>
  <c r="B36" i="4"/>
  <c r="F59" i="3"/>
  <c r="E59" i="3"/>
  <c r="D59" i="3"/>
  <c r="B61" i="3"/>
  <c r="C60" i="3"/>
  <c r="A60" i="3"/>
  <c r="B69" i="5"/>
  <c r="G59" i="3"/>
  <c r="A37" i="4" l="1"/>
  <c r="A69" i="5"/>
  <c r="D37" i="4"/>
  <c r="C37" i="4"/>
  <c r="B37" i="4"/>
  <c r="F60" i="3"/>
  <c r="E60" i="3"/>
  <c r="D60" i="3"/>
  <c r="C61" i="3"/>
  <c r="A61" i="3"/>
  <c r="B70" i="5"/>
  <c r="G60" i="3"/>
  <c r="H60" i="3"/>
  <c r="H59" i="3"/>
  <c r="A38" i="4" l="1"/>
  <c r="A70" i="5"/>
  <c r="D38" i="4"/>
  <c r="D39" i="4" s="1"/>
  <c r="C38" i="4"/>
  <c r="C39" i="4" s="1"/>
  <c r="B38" i="4"/>
  <c r="B39" i="4" s="1"/>
  <c r="F61" i="3"/>
  <c r="F62" i="3" s="1"/>
  <c r="E61" i="3"/>
  <c r="E62" i="3" s="1"/>
  <c r="D61" i="3"/>
  <c r="G61" i="3"/>
  <c r="D62" i="3" l="1"/>
  <c r="H61" i="3"/>
  <c r="C31" i="3"/>
  <c r="B31" i="3"/>
  <c r="C37" i="6" s="1"/>
  <c r="C242" i="3"/>
  <c r="C243" i="3"/>
  <c r="C244" i="3"/>
  <c r="C245" i="3"/>
</calcChain>
</file>

<file path=xl/sharedStrings.xml><?xml version="1.0" encoding="utf-8"?>
<sst xmlns="http://schemas.openxmlformats.org/spreadsheetml/2006/main" count="2939" uniqueCount="621">
  <si>
    <t>PR. Final Project - "Data Intelligence Dashboard"</t>
  </si>
  <si>
    <t>Dataset: Use the 'Final Project Dataset' sheet containing 200+ records of customer transactions.  Objective:  Create a full-fledged analysis and reporting solution using Excel to analyze customer transactions, find insights,  and build visualizations and dashboards.   Key Topics to Implement: - Date &amp; Time Functions: TODAY, NOW, DATEDIF, EOMONTH - FILTER Function for multi-value returns - Conditional Formatting with Icons/Arrows - Create Timestamp (using NOW and iterative calculations) - WHAT-IF Analysis: Scenario Manager, Goal Seek - Linear Regression using Data Analysis Toolpak - Data Analysis &amp; Storytelling from the dataset - Use GroupBy concepts to find High-Value Customers using formulas - Create Dashboard using:     - Pivot Tables     - Pivot Charts (Bar, Line, Pie)     - Slicers and Timelines     - KPI Indicators with Conditional Formatting - Find most frequently purchased product or repeating names using formulas - Compare two lists and extract matching names in a new column - Create Abbreviations using TEXT functions - Build a final report with insights and storytelling   Deliverable: - Well-structured workbook with multiple sheets (Raw Data, Analysis, Visualizations, Dashboard) - Summary Insights with key metrics: Total Revenue, Top Customers, Most Sold Products, Regional Sales - Use of all required formulas and functions as listed above</t>
  </si>
  <si>
    <t>Sum of Total_Amount</t>
  </si>
  <si>
    <t>Category</t>
  </si>
  <si>
    <t>Region</t>
  </si>
  <si>
    <t>Appliances</t>
  </si>
  <si>
    <t>Electronics</t>
  </si>
  <si>
    <t>Furniture</t>
  </si>
  <si>
    <t>Grand Total</t>
  </si>
  <si>
    <t>Central</t>
  </si>
  <si>
    <t>East</t>
  </si>
  <si>
    <t>North</t>
  </si>
  <si>
    <t>South</t>
  </si>
  <si>
    <t>West</t>
  </si>
  <si>
    <t>Transaction_ID</t>
  </si>
  <si>
    <t>Date</t>
  </si>
  <si>
    <t>Customer_ID</t>
  </si>
  <si>
    <t>Customer_Name</t>
  </si>
  <si>
    <t>Product_ID</t>
  </si>
  <si>
    <t>Product_Name</t>
  </si>
  <si>
    <t>Quantity</t>
  </si>
  <si>
    <t>Unit_Price</t>
  </si>
  <si>
    <t>Payment_Method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</si>
  <si>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</si>
  <si>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</si>
  <si>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</si>
  <si>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</si>
  <si>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</si>
  <si>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</si>
  <si>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</si>
  <si>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</si>
  <si>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Cash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</si>
  <si>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</si>
  <si>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</si>
  <si>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</si>
  <si>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</si>
  <si>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</si>
  <si>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</si>
  <si>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</si>
  <si>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</si>
  <si>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</si>
  <si>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</si>
  <si>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</si>
  <si>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PayPal</t>
  </si>
  <si>
    <t>Standard</t>
  </si>
  <si>
    <t>TRX0043</t>
  </si>
  <si>
    <t>CUST046</t>
  </si>
  <si>
    <t>Kathleen Bennett</t>
  </si>
  <si>
    <t>TRX0212</t>
  </si>
  <si>
    <t>CUST003</t>
  </si>
  <si>
    <t>Michael Brown</t>
  </si>
  <si>
    <t>P008</t>
  </si>
  <si>
    <t>Bookshelf</t>
  </si>
  <si>
    <t>TRX0092</t>
  </si>
  <si>
    <t>CUST024</t>
  </si>
  <si>
    <t>Dorothy Nelson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</si>
  <si>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</si>
  <si>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</si>
  <si>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</si>
  <si>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</si>
  <si>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</si>
  <si>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</si>
  <si>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</si>
  <si>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</si>
  <si>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</si>
  <si>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</si>
  <si>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</si>
  <si>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</si>
  <si>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</si>
  <si>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</si>
  <si>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</si>
  <si>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</si>
  <si>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</si>
  <si>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</si>
  <si>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</si>
  <si>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</si>
  <si>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</si>
  <si>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</si>
  <si>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</si>
  <si>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</si>
  <si>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</si>
  <si>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</si>
  <si>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</si>
  <si>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</si>
  <si>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</si>
  <si>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</si>
  <si>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</si>
  <si>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</si>
  <si>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</si>
  <si>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</si>
  <si>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</si>
  <si>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</si>
  <si>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</si>
  <si>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</si>
  <si>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</si>
  <si>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</si>
  <si>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</si>
  <si>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</si>
  <si>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</si>
  <si>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</si>
  <si>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</si>
  <si>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</si>
  <si>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</si>
  <si>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</si>
  <si>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</si>
  <si>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</si>
  <si>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</si>
  <si>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</si>
  <si>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</si>
  <si>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</si>
  <si>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</si>
  <si>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</si>
  <si>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</si>
  <si>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</si>
  <si>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</si>
  <si>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</si>
  <si>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</si>
  <si>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</si>
  <si>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</si>
  <si>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</si>
  <si>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</si>
  <si>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</si>
  <si>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</si>
  <si>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</si>
  <si>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</si>
  <si>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</si>
  <si>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</si>
  <si>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</si>
  <si>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</si>
  <si>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</si>
  <si>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</si>
  <si>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</si>
  <si>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</si>
  <si>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</si>
  <si>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</si>
  <si>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</si>
  <si>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</si>
  <si>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</si>
  <si>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</si>
  <si>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</si>
  <si>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</si>
  <si>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</si>
  <si>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</si>
  <si>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</si>
  <si>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</si>
  <si>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</si>
  <si>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</si>
  <si>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</si>
  <si>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</si>
  <si>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</si>
  <si>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</si>
  <si>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</si>
  <si>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</si>
  <si>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</si>
  <si>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</si>
  <si>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</si>
  <si>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</si>
  <si>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</si>
  <si>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</si>
  <si>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</si>
  <si>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</si>
  <si>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</si>
  <si>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</si>
  <si>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</si>
  <si>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</si>
  <si>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</si>
  <si>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</si>
  <si>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</si>
  <si>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</si>
  <si>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</si>
  <si>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</si>
  <si>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</si>
  <si>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</si>
  <si>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</si>
  <si>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</si>
  <si>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</si>
  <si>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</si>
  <si>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</si>
  <si>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</si>
  <si>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</si>
  <si>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</si>
  <si>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</si>
  <si>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</si>
  <si>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</si>
  <si>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</si>
  <si>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</si>
  <si>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</si>
  <si>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</si>
  <si>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</si>
  <si>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</si>
  <si>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</si>
  <si>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</si>
  <si>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</si>
  <si>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</si>
  <si>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</si>
  <si>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</si>
  <si>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</si>
  <si>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</si>
  <si>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</si>
  <si>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</si>
  <si>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</si>
  <si>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</si>
  <si>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</si>
  <si>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</si>
  <si>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</si>
  <si>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</si>
  <si>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</si>
  <si>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</si>
  <si>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</si>
  <si>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</si>
  <si>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</si>
  <si>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</si>
  <si>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</si>
  <si>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</si>
  <si>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</si>
  <si>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</si>
  <si>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</si>
  <si>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</si>
  <si>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</si>
  <si>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</si>
  <si>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</si>
  <si>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</si>
  <si>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</si>
  <si>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</si>
  <si>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</si>
  <si>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</si>
  <si>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</si>
  <si>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</si>
  <si>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</si>
  <si>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</si>
  <si>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</si>
  <si>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</si>
  <si>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</si>
  <si>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</si>
  <si>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</si>
  <si>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</si>
  <si>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</si>
  <si>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</si>
  <si>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</si>
  <si>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</si>
  <si>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</si>
  <si>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</si>
  <si>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</si>
  <si>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</si>
  <si>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</si>
  <si>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</si>
  <si>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</si>
  <si>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</si>
  <si>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</si>
  <si>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</si>
  <si>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</si>
  <si>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</si>
  <si>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</si>
  <si>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</si>
  <si>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</si>
  <si>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</si>
  <si>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</si>
  <si>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</si>
  <si>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</si>
  <si>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</si>
  <si>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</si>
  <si>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</si>
  <si>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</si>
  <si>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</si>
  <si>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</si>
  <si>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</si>
  <si>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</si>
  <si>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</si>
  <si>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</si>
  <si>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</si>
  <si>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</si>
  <si>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</si>
  <si>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</si>
  <si>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</si>
  <si>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</si>
  <si>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</si>
  <si>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</si>
  <si>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</si>
  <si>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</si>
  <si>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</si>
  <si>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</si>
  <si>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</si>
  <si>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</si>
  <si>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</si>
  <si>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</si>
  <si>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</si>
  <si>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</si>
  <si>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</si>
  <si>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</si>
  <si>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</si>
  <si>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</si>
  <si>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</si>
  <si>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</si>
  <si>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</si>
  <si>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</si>
  <si>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</si>
  <si>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</si>
  <si>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</si>
  <si>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</si>
  <si>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</si>
  <si>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</si>
  <si>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</si>
  <si>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</si>
  <si>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</si>
  <si>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</si>
  <si>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</si>
  <si>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</si>
  <si>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</si>
  <si>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</si>
  <si>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</si>
  <si>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</si>
  <si>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</si>
  <si>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</si>
  <si>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</si>
  <si>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</si>
  <si>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</si>
  <si>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</si>
  <si>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</si>
  <si>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</si>
  <si>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</si>
  <si>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</si>
  <si>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</si>
  <si>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</si>
  <si>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</si>
  <si>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</si>
  <si>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</si>
  <si>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</si>
  <si>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</si>
  <si>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</si>
  <si>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</si>
  <si>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</si>
  <si>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</si>
  <si>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</si>
  <si>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</si>
  <si>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</si>
  <si>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</si>
  <si>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</si>
  <si>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</si>
  <si>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</si>
  <si>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</si>
  <si>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</si>
  <si>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</si>
  <si>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</si>
  <si>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</si>
  <si>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</si>
  <si>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</si>
  <si>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</si>
  <si>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</si>
  <si>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</si>
  <si>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</si>
  <si>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</si>
  <si>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</si>
  <si>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</si>
  <si>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</si>
  <si>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</si>
  <si>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</si>
  <si>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</si>
  <si>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</si>
  <si>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</si>
  <si>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</si>
  <si>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</si>
  <si>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</si>
  <si>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</si>
  <si>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</si>
  <si>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</si>
  <si>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</si>
  <si>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</si>
  <si>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</si>
  <si>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</si>
  <si>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</si>
  <si>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</si>
  <si>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</si>
  <si>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</si>
  <si>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</si>
  <si>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</si>
  <si>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</si>
  <si>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</si>
  <si>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</si>
  <si>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</si>
  <si>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</si>
  <si>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</si>
  <si>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</si>
  <si>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</si>
  <si>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</si>
  <si>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</si>
  <si>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</si>
  <si>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</si>
  <si>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</si>
  <si>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</si>
  <si>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</si>
  <si>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</si>
  <si>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</si>
  <si>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</si>
  <si>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</si>
  <si>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</si>
  <si>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</si>
  <si>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</si>
  <si>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</si>
  <si>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</si>
  <si>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</si>
  <si>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</si>
  <si>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</si>
  <si>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</si>
  <si>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Details for Sum of Quantity - Product_Name: Smartphone</t>
  </si>
  <si>
    <t>Sum of Quantity</t>
  </si>
  <si>
    <t>ANALYSIS – Customer Transactions</t>
  </si>
  <si>
    <t>Blue text on yellow = editable input.  Black = formula.  Every figure below is calculated from the 'Raw Data' sheet.</t>
  </si>
  <si>
    <t>Contents (click to jump)</t>
  </si>
  <si>
    <t>1. Summary Insights – key metrics</t>
  </si>
  <si>
    <t>Metric</t>
  </si>
  <si>
    <t>Value</t>
  </si>
  <si>
    <t>Detail</t>
  </si>
  <si>
    <t>Total Revenue</t>
  </si>
  <si>
    <t>Total Transactions</t>
  </si>
  <si>
    <t>Units Sold</t>
  </si>
  <si>
    <t>Average Order Value</t>
  </si>
  <si>
    <t>Unique Customers</t>
  </si>
  <si>
    <t>Top Customer</t>
  </si>
  <si>
    <t>Most Sold Product (units)</t>
  </si>
  <si>
    <t>Most Frequently Purchased Product</t>
  </si>
  <si>
    <t>Top Region</t>
  </si>
  <si>
    <t>Lowest Region</t>
  </si>
  <si>
    <t>Peak Month</t>
  </si>
  <si>
    <t>2. Date &amp; Time Functions (TODAY, NOW, DATEDIF, EOMONTH)</t>
  </si>
  <si>
    <t>Function used</t>
  </si>
  <si>
    <t>Today's date</t>
  </si>
  <si>
    <t>TODAY</t>
  </si>
  <si>
    <t>Current date &amp; time</t>
  </si>
  <si>
    <t>NOW</t>
  </si>
  <si>
    <t>First transaction date</t>
  </si>
  <si>
    <t>MIN</t>
  </si>
  <si>
    <t>Last transaction date</t>
  </si>
  <si>
    <t>MAX</t>
  </si>
  <si>
    <t>Dataset span (years / months / days)</t>
  </si>
  <si>
    <t>DATEDIF  y / ym / md</t>
  </si>
  <si>
    <t>Days covered by the dataset</t>
  </si>
  <si>
    <t>Date subtraction</t>
  </si>
  <si>
    <t>Month-end of last transaction</t>
  </si>
  <si>
    <t>EOMONTH</t>
  </si>
  <si>
    <t>End of the current month</t>
  </si>
  <si>
    <t>Days left in the current month</t>
  </si>
  <si>
    <t>EOMONTH, TODAY</t>
  </si>
  <si>
    <t>Months since last transaction</t>
  </si>
  <si>
    <t>DATEDIF  m</t>
  </si>
  <si>
    <t>3. Monthly Sales Trend (EOMONTH, SUMIFS, arrow icons)</t>
  </si>
  <si>
    <t>Month</t>
  </si>
  <si>
    <t>Month start</t>
  </si>
  <si>
    <t>Month end (EOMONTH)</t>
  </si>
  <si>
    <t>Revenue</t>
  </si>
  <si>
    <t>Transactions</t>
  </si>
  <si>
    <t>Units sold</t>
  </si>
  <si>
    <t>MoM change</t>
  </si>
  <si>
    <t>Cumulative revenue</t>
  </si>
  <si>
    <t>Total</t>
  </si>
  <si>
    <t>4. Regional Sales (GroupBy with SUMIFS / COUNTIFS)</t>
  </si>
  <si>
    <t>Abbrev. (UPPER/LEFT)</t>
  </si>
  <si>
    <t>Avg order value</t>
  </si>
  <si>
    <t>Share of revenue</t>
  </si>
  <si>
    <t>Rank</t>
  </si>
  <si>
    <t>5. Category, Payment Method &amp; Customer Segment Breakdowns</t>
  </si>
  <si>
    <t>Payment method</t>
  </si>
  <si>
    <t>Customer segment</t>
  </si>
  <si>
    <t>6. Product Analysis – Most Sold &amp; Most Frequently Purchased (abbreviations with TEXT functions)</t>
  </si>
  <si>
    <t>Product ID</t>
  </si>
  <si>
    <t>Product</t>
  </si>
  <si>
    <t>Abbreviation</t>
  </si>
  <si>
    <t>Rank (units)</t>
  </si>
  <si>
    <t>Rank (revenue)</t>
  </si>
  <si>
    <t>Most sold product (units)</t>
  </si>
  <si>
    <t>Highest-revenue product</t>
  </si>
  <si>
    <t>Most frequently purchased product (MODE of names)</t>
  </si>
  <si>
    <t>7. Customer Analysis – GroupBy High-Value Customers, Repeat Names, Initials (TEXT functions)</t>
  </si>
  <si>
    <t>High-value percentile (input)</t>
  </si>
  <si>
    <t>Spend cut-off</t>
  </si>
  <si>
    <t>Customer ID</t>
  </si>
  <si>
    <t>Customer name</t>
  </si>
  <si>
    <t>Initials</t>
  </si>
  <si>
    <t>Short name</t>
  </si>
  <si>
    <t>Total spend</t>
  </si>
  <si>
    <t>Units bought</t>
  </si>
  <si>
    <t>Customer since (earliest)</t>
  </si>
  <si>
    <t>Tenure (DATEDIF)</t>
  </si>
  <si>
    <t>Spend rank</t>
  </si>
  <si>
    <t>Repeat buyer?</t>
  </si>
  <si>
    <t>Value tier</t>
  </si>
  <si>
    <t>Customers who bought more than once</t>
  </si>
  <si>
    <t>High-value customers</t>
  </si>
  <si>
    <t>Revenue share of high-value customers</t>
  </si>
  <si>
    <t>Most frequent customer name (MODE)</t>
  </si>
  <si>
    <t>Average customer tenure (years)</t>
  </si>
  <si>
    <t>Top 10 customers by total spend (GroupBy → rank lookup)</t>
  </si>
  <si>
    <t>Customer</t>
  </si>
  <si>
    <t>Cumulative share</t>
  </si>
  <si>
    <t>8. Compare Two Lists – extract matching names into a new column</t>
  </si>
  <si>
    <t>List A = customers who bought (category)</t>
  </si>
  <si>
    <t>List B = customers who bought (category)</t>
  </si>
  <si>
    <t>Matching names (in both lists)</t>
  </si>
  <si>
    <t>Names in List A</t>
  </si>
  <si>
    <t>Names in List B</t>
  </si>
  <si>
    <t>Matching names</t>
  </si>
  <si>
    <t>9. Timestamp with NOW() and Iterative Calculation</t>
  </si>
  <si>
    <t>Task</t>
  </si>
  <si>
    <t>Status (type anything)</t>
  </si>
  <si>
    <t>Timestamp (frozen once status is entered)</t>
  </si>
  <si>
    <t>Dataset imported</t>
  </si>
  <si>
    <t>Done</t>
  </si>
  <si>
    <t>Analysis completed</t>
  </si>
  <si>
    <t>Dashboard built</t>
  </si>
  <si>
    <t>Report reviewed</t>
  </si>
  <si>
    <t>Final sign-off</t>
  </si>
  <si>
    <t>Formula: =IF(B&lt;&gt;"",IF(C="",NOW(),C),"") is circular on purpose – iterative calculation is switched on in this workbook</t>
  </si>
  <si>
    <t>(File &gt; Options &gt; Formulas &gt; Enable iterative calculation). Typing a status stamps the time once; clearing the status resets it.</t>
  </si>
  <si>
    <t>Workbook last recalculated</t>
  </si>
  <si>
    <t>10. What-If Analysis – Scenario Manager &amp; Goal Seek</t>
  </si>
  <si>
    <t>Baseline revenue (from data)</t>
  </si>
  <si>
    <t>Scenario Manager – changing cells and scenarios</t>
  </si>
  <si>
    <t>Changing cell</t>
  </si>
  <si>
    <t>Worst</t>
  </si>
  <si>
    <t>Base</t>
  </si>
  <si>
    <t>Best</t>
  </si>
  <si>
    <t>Selected scenario</t>
  </si>
  <si>
    <t>Units sold change %</t>
  </si>
  <si>
    <t>Unit price change %</t>
  </si>
  <si>
    <t>Active scenario (dropdown)</t>
  </si>
  <si>
    <t>Result cells (Scenario Summary)</t>
  </si>
  <si>
    <t>Result</t>
  </si>
  <si>
    <t>Projected revenue</t>
  </si>
  <si>
    <t>Change vs baseline (₹)</t>
  </si>
  <si>
    <t>Change vs baseline (%)</t>
  </si>
  <si>
    <t>Goal Seek – Set cell: projected revenue | To value: target | By changing: units growth</t>
  </si>
  <si>
    <t>Target revenue (To value)</t>
  </si>
  <si>
    <t>Unit price change % (held fixed)</t>
  </si>
  <si>
    <t>Units growth needed (By changing cell)</t>
  </si>
  <si>
    <t>← value left by Goal Seek (re-run Data &gt; What-If &gt; Goal Seek if the data or target changes)</t>
  </si>
  <si>
    <t>Projected revenue (Set cell)</t>
  </si>
  <si>
    <t>Gap to target</t>
  </si>
  <si>
    <t>Check – closed-form solution</t>
  </si>
  <si>
    <t>11. Linear Regression (Data Analysis Toolpak layout, built with LINEST)</t>
  </si>
  <si>
    <t>Model: Total_Amount (Y) regressed on Quantity and Unit_Price (X).  Raw LINEST block below feeds the Toolpak-style tables.</t>
  </si>
  <si>
    <t>LINEST raw output</t>
  </si>
  <si>
    <t>Intercept</t>
  </si>
  <si>
    <t>Coefficients</t>
  </si>
  <si>
    <t>Standard errors</t>
  </si>
  <si>
    <t>R² | Std error of Y</t>
  </si>
  <si>
    <t>F | Residual df</t>
  </si>
  <si>
    <t>SS regression | SS residual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</si>
  <si>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</si>
  <si>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</si>
  <si>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</si>
  <si>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</si>
  <si>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</si>
  <si>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</si>
  <si>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</si>
  <si>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</si>
  <si>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</si>
  <si>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</si>
  <si>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</si>
  <si>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</si>
  <si>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</si>
  <si>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</si>
  <si>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</si>
  <si>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 Stat</t>
  </si>
  <si>
    <t>P-value</t>
  </si>
  <si>
    <t>Lower 95%</t>
  </si>
  <si>
    <t>Upper 95%</t>
  </si>
  <si>
    <t>12. FILTER Function – multi-value return (pick a Region and Category)</t>
  </si>
  <si>
    <t>Region (dropdown)</t>
  </si>
  <si>
    <t>All</t>
  </si>
  <si>
    <t>Category (dropdown)</t>
  </si>
  <si>
    <t>Matching transactions</t>
  </si>
  <si>
    <t>VISUALIZATIONS – Pivot-style tables and charts</t>
  </si>
  <si>
    <t>Each table is a formula-driven pivot (SUMIFS on the Raw Data); each chart reads straight from its table.</t>
  </si>
  <si>
    <t>Pivot Table 1 – Revenue by Region × Category</t>
  </si>
  <si>
    <t>Pivot Table 2 – Monthly Revenue &amp; Transactions</t>
  </si>
  <si>
    <t>Units</t>
  </si>
  <si>
    <t>Pivot Table 3 – Revenue by Category</t>
  </si>
  <si>
    <t>Share</t>
  </si>
  <si>
    <t>Pivot Table 4 – Top 10 Customers by Spend</t>
  </si>
  <si>
    <t>Data Intelligence Dashboard</t>
  </si>
  <si>
    <t>Slicers &amp; timeline – change the yellow cells</t>
  </si>
  <si>
    <t>Region slicer</t>
  </si>
  <si>
    <t>Category slicer</t>
  </si>
  <si>
    <t>Timeline: from</t>
  </si>
  <si>
    <t>to</t>
  </si>
  <si>
    <t>TOTAL REVENUE</t>
  </si>
  <si>
    <t>TRANSACTIONS</t>
  </si>
  <si>
    <t>UNITS SOLD</t>
  </si>
  <si>
    <t>AVG ORDER VALUE</t>
  </si>
  <si>
    <t>ACTIVE CUSTOMERS</t>
  </si>
  <si>
    <t>UNITS PER ORDER</t>
  </si>
  <si>
    <t>KPI icons: arrows compare with the overall dataset; traffic lights show share of the overall total (red &lt; 15%, amber 15–30%, green ≥ 30%).</t>
  </si>
  <si>
    <t>Region scorecard (respects Category &amp; timeline)</t>
  </si>
  <si>
    <t>Top 5 customers (respects all filters)</t>
  </si>
  <si>
    <t>vs avg region</t>
  </si>
  <si>
    <t>Spend</t>
  </si>
  <si>
    <t>Chart data &amp; helpers (formulas – feed the dashboard)</t>
  </si>
  <si>
    <t>Region criteria</t>
  </si>
  <si>
    <t>Category criteria</t>
  </si>
  <si>
    <t>Sort key</t>
  </si>
  <si>
    <t>Product (top 5)</t>
  </si>
  <si>
    <t>Spend (filtered + sort key)</t>
  </si>
  <si>
    <t>FINAL REPORT – Insights &amp; Storytelling</t>
  </si>
  <si>
    <t>1. The headline</t>
  </si>
  <si>
    <t>2. Key metrics</t>
  </si>
  <si>
    <t>Average order value</t>
  </si>
  <si>
    <t>Top customer</t>
  </si>
  <si>
    <t>Most sold product</t>
  </si>
  <si>
    <t>Top region</t>
  </si>
  <si>
    <t>Top 5 customers</t>
  </si>
  <si>
    <t>Most sold products</t>
  </si>
  <si>
    <t>Regional sales (ranked)</t>
  </si>
  <si>
    <t>3. The story in the data</t>
  </si>
  <si>
    <t>Who buys</t>
  </si>
  <si>
    <t>What sells</t>
  </si>
  <si>
    <t>Where</t>
  </si>
  <si>
    <t>When</t>
  </si>
  <si>
    <t>How they pay</t>
  </si>
  <si>
    <t>Cross-selling</t>
  </si>
  <si>
    <t>What drives order value</t>
  </si>
  <si>
    <t>What-if</t>
  </si>
  <si>
    <t>4.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</si>
</sst>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5" formatCode="dd\-mmm\-yyyy"/>
    <numFmt numFmtId="166" formatCode="[&gt;=10000000]\₹##\,##\,##\,##0.00;[&gt;=100000]\₹##\,##\,##0.00;\₹#,##0.00"/>
    <numFmt numFmtId="167" formatCode="dd\-mmm\-yyyy\ hh:mm:ss"/>
    <numFmt numFmtId="168" formatCode="\+0.0%;\-0.0%;0.0%"/>
    <numFmt numFmtId="169" formatCode="0.0%"/>
    <numFmt numFmtId="170" formatCode="0&quot; units&quot;"/>
    <numFmt numFmtId="171" formatCode="0&quot; transactions&quot;"/>
    <numFmt numFmtId="172" formatCode="0.0"/>
    <numFmt numFmtId="173" formatCode="\+\₹#,##0.00;\-\₹#,##0.00;\₹0.00"/>
    <numFmt numFmtId="174" formatCode="[&gt;=10000000]\₹##\,##\,##\,##0;[&gt;=100000]\₹##\,##\,##0;\₹#,##0"/>
    <numFmt numFmtId="175" formatCode="0.0000%"/>
    <numFmt numFmtId="176" formatCode="\₹#,##0.00;\-\₹#,##0.00;\₹0.00"/>
    <numFmt numFmtId="177" formatCode="0.0000"/>
    <numFmt numFmtId="178" formatCode="0.0%&quot; of all revenue&quot;"/>
    <numFmt numFmtId="179" formatCode="0.0%&quot; of all transactions&quot;"/>
    <numFmt numFmtId="180" formatCode="0.0%&quot; of all units&quot;"/>
    <numFmt numFmtId="181" formatCode="\+0.0%&quot; vs overall&quot;;\-0.0%&quot; vs overall&quot;;0.0%&quot; vs overall&quot;"/>
    <numFmt numFmtId="182" formatCode="0.0%&quot; of all customers&quot;"/>
    <numFmt numFmtId="183" formatCode="0.00000"/>
    <numFmt numFmtId="184" formatCode="#,##0.0000000"/>
  </numFmts>
  <fonts count="22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1F3A5F"/>
      <name val="Arial"/>
    </font>
    <font>
      <i/>
      <sz val="9"/>
      <color rgb="FF5B6B7B"/>
      <name val="Arial"/>
    </font>
    <font>
      <b/>
      <sz val="10"/>
      <color rgb="FF1F3A5F"/>
      <name val="Arial"/>
    </font>
    <font>
      <b/>
      <sz val="11"/>
      <color rgb="FFFFFFFF"/>
      <name val="Arial"/>
    </font>
    <font>
      <sz val="10"/>
      <color rgb="FF5B6B7B"/>
      <name val="Arial"/>
    </font>
    <font>
      <b/>
      <sz val="10"/>
      <color rgb="FF000000"/>
      <name val="Arial"/>
    </font>
    <font>
      <sz val="10"/>
      <color rgb="FF0000FF"/>
      <name val="Arial"/>
    </font>
    <font>
      <b/>
      <sz val="11"/>
      <color rgb="FF1F3A5F"/>
      <name val="Arial"/>
    </font>
    <font>
      <u/>
      <sz val="10"/>
      <color rgb="FF0563C1"/>
      <name val="Arial"/>
    </font>
    <font>
      <b/>
      <sz val="18"/>
      <color rgb="FFFFFFFF"/>
      <name val="Arial"/>
    </font>
    <font>
      <sz val="10"/>
      <color rgb="FFFFFFFF"/>
      <name val="Arial"/>
    </font>
    <font>
      <b/>
      <sz val="9"/>
      <color rgb="FF5B6B7B"/>
      <name val="Arial"/>
    </font>
    <font>
      <b/>
      <sz val="20"/>
      <color rgb="FF1F3A5F"/>
      <name val="Arial"/>
    </font>
    <font>
      <sz val="9"/>
      <color rgb="FF000000"/>
      <name val="Arial"/>
    </font>
    <font>
      <b/>
      <sz val="16"/>
      <color rgb="FF1F3A5F"/>
      <name val="Arial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0"/>
      </patternFill>
    </fill>
    <fill>
      <patternFill patternType="solid">
        <fgColor rgb="FFFFF2CC"/>
      </patternFill>
    </fill>
    <fill>
      <patternFill patternType="solid">
        <fgColor rgb="FFEEF2F6"/>
      </patternFill>
    </fill>
    <fill>
      <patternFill patternType="solid">
        <fgColor rgb="FF5B6B7B"/>
      </patternFill>
    </fill>
  </fills>
  <borders count="5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  <border>
      <left/>
      <right style="thin">
        <color rgb="FFC9D3DD"/>
      </right>
      <top style="thin">
        <color rgb="FFC9D3DD"/>
      </top>
      <bottom style="thin">
        <color rgb="FFC9D3DD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0" xfId="0" applyFill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horizontal="right" vertical="center"/>
    </xf>
    <xf numFmtId="166" fontId="10" fillId="0" borderId="1" xfId="0" applyNumberFormat="1" applyFont="1" applyBorder="1" applyAlignment="1">
      <alignment vertical="center"/>
    </xf>
    <xf numFmtId="1" fontId="10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9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vertical="center"/>
    </xf>
    <xf numFmtId="170" fontId="2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/>
    <xf numFmtId="171" fontId="2" fillId="0" borderId="1" xfId="0" applyNumberFormat="1" applyFont="1" applyBorder="1" applyAlignment="1">
      <alignment vertical="center"/>
    </xf>
    <xf numFmtId="9" fontId="11" fillId="4" borderId="1" xfId="0" applyNumberFormat="1" applyFont="1" applyFill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172" fontId="2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1" fillId="4" borderId="1" xfId="0" applyFont="1" applyFill="1" applyBorder="1" applyAlignment="1">
      <alignment vertical="center"/>
    </xf>
    <xf numFmtId="167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168" fontId="11" fillId="4" borderId="1" xfId="0" applyNumberFormat="1" applyFont="1" applyFill="1" applyBorder="1" applyAlignment="1">
      <alignment vertical="center"/>
    </xf>
    <xf numFmtId="168" fontId="10" fillId="0" borderId="1" xfId="0" applyNumberFormat="1" applyFont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173" fontId="2" fillId="0" borderId="1" xfId="0" applyNumberFormat="1" applyFont="1" applyBorder="1" applyAlignment="1">
      <alignment vertical="center"/>
    </xf>
    <xf numFmtId="168" fontId="2" fillId="0" borderId="1" xfId="0" applyNumberFormat="1" applyFont="1" applyBorder="1" applyAlignment="1">
      <alignment vertical="center"/>
    </xf>
    <xf numFmtId="174" fontId="11" fillId="4" borderId="1" xfId="0" applyNumberFormat="1" applyFont="1" applyFill="1" applyBorder="1" applyAlignment="1">
      <alignment vertical="center"/>
    </xf>
    <xf numFmtId="175" fontId="11" fillId="4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5" fontId="2" fillId="0" borderId="1" xfId="0" applyNumberFormat="1" applyFont="1" applyBorder="1" applyAlignment="1">
      <alignment vertical="center"/>
    </xf>
    <xf numFmtId="177" fontId="4" fillId="0" borderId="1" xfId="0" applyNumberFormat="1" applyFont="1" applyBorder="1"/>
    <xf numFmtId="0" fontId="10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1" fontId="2" fillId="0" borderId="1" xfId="0" applyNumberFormat="1" applyFont="1" applyBorder="1" applyAlignment="1">
      <alignment vertical="center"/>
    </xf>
    <xf numFmtId="174" fontId="2" fillId="0" borderId="1" xfId="0" applyNumberFormat="1" applyFont="1" applyBorder="1" applyAlignment="1">
      <alignment vertical="center"/>
    </xf>
    <xf numFmtId="174" fontId="10" fillId="0" borderId="1" xfId="0" applyNumberFormat="1" applyFont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165" fontId="11" fillId="4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0" fillId="6" borderId="0" xfId="0" applyFill="1"/>
    <xf numFmtId="0" fontId="2" fillId="0" borderId="0" xfId="0" applyFont="1" applyAlignment="1">
      <alignment vertical="center"/>
    </xf>
    <xf numFmtId="183" fontId="2" fillId="0" borderId="1" xfId="0" applyNumberFormat="1" applyFont="1" applyBorder="1" applyAlignment="1">
      <alignment vertical="center"/>
    </xf>
    <xf numFmtId="184" fontId="2" fillId="0" borderId="1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6" fillId="5" borderId="0" xfId="0" applyFont="1" applyFill="1" applyAlignment="1">
      <alignment horizontal="center" vertical="center"/>
    </xf>
    <xf numFmtId="181" fontId="18" fillId="5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180" fontId="18" fillId="5" borderId="0" xfId="0" applyNumberFormat="1" applyFont="1" applyFill="1" applyAlignment="1">
      <alignment horizontal="center" vertical="center"/>
    </xf>
    <xf numFmtId="174" fontId="17" fillId="5" borderId="0" xfId="0" applyNumberFormat="1" applyFont="1" applyFill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82" fontId="18" fillId="5" borderId="0" xfId="0" applyNumberFormat="1" applyFont="1" applyFill="1" applyAlignment="1">
      <alignment horizontal="center" vertical="center"/>
    </xf>
    <xf numFmtId="178" fontId="18" fillId="5" borderId="0" xfId="0" applyNumberFormat="1" applyFont="1" applyFill="1" applyAlignment="1">
      <alignment horizontal="center" vertical="center"/>
    </xf>
    <xf numFmtId="179" fontId="18" fillId="5" borderId="0" xfId="0" applyNumberFormat="1" applyFont="1" applyFill="1" applyAlignment="1">
      <alignment horizontal="center" vertical="center"/>
    </xf>
    <xf numFmtId="2" fontId="1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166" fontId="0" fillId="0" borderId="0" xfId="0" applyNumberFormat="1"/>
    <xf numFmtId="1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NumberFormat="1"/>
    <xf numFmtId="0" fontId="21" fillId="0" borderId="0" xfId="0" applyFont="1"/>
    <xf numFmtId="0" fontId="20" fillId="0" borderId="0" xfId="1" applyAlignment="1">
      <alignment vertical="center"/>
    </xf>
    <xf numFmtId="0" fontId="4" fillId="0" borderId="4" xfId="0" applyFont="1" applyBorder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2">
    <cellStyle name="Hyperlink" xfId="1" builtinId="8"/>
    <cellStyle name="Normal" xfId="0" builtinId="0"/>
  </cellStyles>
  <dxfs count="10">
    <dxf>
      <font>
        <color rgb="FFC62828"/>
        <name val="Arial"/>
      </font>
    </dxf>
    <dxf>
      <font>
        <color rgb="FF2E7D32"/>
        <name val="Arial"/>
      </font>
    </dxf>
    <dxf>
      <font>
        <b/>
        <color rgb="FFC62828"/>
        <name val="Arial"/>
      </font>
    </dxf>
    <dxf>
      <font>
        <b/>
        <color rgb="FF2E7D32"/>
        <name val="Arial"/>
      </font>
    </dxf>
    <dxf>
      <font>
        <b/>
        <color rgb="FFC62828"/>
        <name val="Arial"/>
      </font>
    </dxf>
    <dxf>
      <font>
        <b/>
        <color rgb="FF2E7D32"/>
        <name val="Arial"/>
      </font>
    </dxf>
    <dxf>
      <fill>
        <patternFill patternType="solid">
          <bgColor rgb="FFC6EFCE"/>
        </patternFill>
      </fill>
    </dxf>
    <dxf>
      <font>
        <b/>
        <color rgb="FF006100"/>
        <name val="Arial"/>
      </font>
      <fill>
        <patternFill patternType="solid">
          <bgColor rgb="FFC6EFCE"/>
        </patternFill>
      </fill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[Data_Intelligence_Dashboard.xlsx]Pivot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Analysis'!$B$5:$B$10</c:f>
              <c:numCache>
                <c:formatCode>[&gt;=10000000]\₹##\,##\,##\,##0.00;[&gt;=100000]\₹##\,##\,##0.00;\₹#,##0.00</c:formatCode>
                <c:ptCount val="5"/>
                <c:pt idx="0">
                  <c:v>1999.71</c:v>
                </c:pt>
                <c:pt idx="1">
                  <c:v>2239.67</c:v>
                </c:pt>
                <c:pt idx="2">
                  <c:v>1119.8399999999999</c:v>
                </c:pt>
                <c:pt idx="3">
                  <c:v>1099.83</c:v>
                </c:pt>
                <c:pt idx="4">
                  <c:v>1879.69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F-4C23-8B6F-CD37E49C47A1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Analysis'!$C$5:$C$10</c:f>
              <c:numCache>
                <c:formatCode>[&gt;=10000000]\₹##\,##\,##\,##0.00;[&gt;=100000]\₹##\,##\,##0.00;\₹#,##0.00</c:formatCode>
                <c:ptCount val="5"/>
                <c:pt idx="0">
                  <c:v>24889.329999999998</c:v>
                </c:pt>
                <c:pt idx="1">
                  <c:v>50649.009999999995</c:v>
                </c:pt>
                <c:pt idx="2">
                  <c:v>39239.040000000015</c:v>
                </c:pt>
                <c:pt idx="3">
                  <c:v>25549.32</c:v>
                </c:pt>
                <c:pt idx="4">
                  <c:v>31429.35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7F-4C23-8B6F-CD37E49C47A1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Analysis'!$D$5:$D$10</c:f>
              <c:numCache>
                <c:formatCode>[&gt;=10000000]\₹##\,##\,##\,##0.00;[&gt;=100000]\₹##\,##\,##0.00;\₹#,##0.00</c:formatCode>
                <c:ptCount val="5"/>
                <c:pt idx="0">
                  <c:v>14399.300000000001</c:v>
                </c:pt>
                <c:pt idx="1">
                  <c:v>6399.71</c:v>
                </c:pt>
                <c:pt idx="2">
                  <c:v>10449.429999999997</c:v>
                </c:pt>
                <c:pt idx="3">
                  <c:v>9749.5999999999985</c:v>
                </c:pt>
                <c:pt idx="4">
                  <c:v>8099.6400000000012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7F-4C23-8B6F-CD37E49C4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910919"/>
        <c:axId val="2127925255"/>
      </c:barChart>
      <c:catAx>
        <c:axId val="212791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25255"/>
        <c:crosses val="autoZero"/>
        <c:auto val="1"/>
        <c:lblAlgn val="ctr"/>
        <c:lblOffset val="100"/>
        <c:noMultiLvlLbl val="0"/>
      </c:catAx>
      <c:valAx>
        <c:axId val="212792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]\₹##\,##\,##\,##0.00;[&gt;=100000]\₹##\,##\,##0.00;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1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[Data_Intelligence_Dashboard.xlsx]Monthly 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Trends'!$A$4:$A$17</c:f>
              <c:strCache>
                <c:ptCount val="13"/>
                <c:pt idx="0">
                  <c:v>02-Mar-2025</c:v>
                </c:pt>
                <c:pt idx="1">
                  <c:v>04-Mar-2025</c:v>
                </c:pt>
                <c:pt idx="2">
                  <c:v>05-Mar-2025</c:v>
                </c:pt>
                <c:pt idx="3">
                  <c:v>07-Mar-2025</c:v>
                </c:pt>
                <c:pt idx="4">
                  <c:v>08-Mar-2025</c:v>
                </c:pt>
                <c:pt idx="5">
                  <c:v>10-Mar-2025</c:v>
                </c:pt>
                <c:pt idx="6">
                  <c:v>18-Mar-2025</c:v>
                </c:pt>
                <c:pt idx="7">
                  <c:v>21-Mar-2025</c:v>
                </c:pt>
                <c:pt idx="8">
                  <c:v>23-Mar-2025</c:v>
                </c:pt>
                <c:pt idx="9">
                  <c:v>24-Mar-2025</c:v>
                </c:pt>
                <c:pt idx="10">
                  <c:v>27-Mar-2025</c:v>
                </c:pt>
                <c:pt idx="11">
                  <c:v>29-Mar-2025</c:v>
                </c:pt>
                <c:pt idx="12">
                  <c:v>30-Mar-2025</c:v>
                </c:pt>
              </c:strCache>
            </c:strRef>
          </c:cat>
          <c:val>
            <c:numRef>
              <c:f>'Monthly Trends'!$B$4:$B$17</c:f>
              <c:numCache>
                <c:formatCode>[&gt;=10000000]\₹##\,##\,##\,##0.00;[&gt;=100000]\₹##\,##\,##0.00;\₹#,##0.00</c:formatCode>
                <c:ptCount val="13"/>
                <c:pt idx="0">
                  <c:v>299.98</c:v>
                </c:pt>
                <c:pt idx="1">
                  <c:v>3499.95</c:v>
                </c:pt>
                <c:pt idx="2">
                  <c:v>299.95</c:v>
                </c:pt>
                <c:pt idx="3">
                  <c:v>1429.93</c:v>
                </c:pt>
                <c:pt idx="4">
                  <c:v>5399.8899999999994</c:v>
                </c:pt>
                <c:pt idx="5">
                  <c:v>249.99</c:v>
                </c:pt>
                <c:pt idx="6">
                  <c:v>119.98</c:v>
                </c:pt>
                <c:pt idx="7">
                  <c:v>5699.92</c:v>
                </c:pt>
                <c:pt idx="8">
                  <c:v>899.97</c:v>
                </c:pt>
                <c:pt idx="9">
                  <c:v>599.96</c:v>
                </c:pt>
                <c:pt idx="10">
                  <c:v>319.95999999999998</c:v>
                </c:pt>
                <c:pt idx="11">
                  <c:v>449.95</c:v>
                </c:pt>
                <c:pt idx="12">
                  <c:v>629.95000000000005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C-4941-9B1F-CDBF9F98C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74696"/>
        <c:axId val="164291592"/>
      </c:lineChart>
      <c:catAx>
        <c:axId val="16427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1592"/>
        <c:crosses val="autoZero"/>
        <c:auto val="1"/>
        <c:lblAlgn val="ctr"/>
        <c:lblOffset val="100"/>
        <c:noMultiLvlLbl val="0"/>
      </c:catAx>
      <c:valAx>
        <c:axId val="16429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]\₹##\,##\,##\,##0.00;[&gt;=100000]\₹##\,##\,##0.00;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[Data_Intelligence_Dashboard.xlsx]Product Analysis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 Pivot'!$B$3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 Pivot'!$A$4:$A$14</c:f>
              <c:strCache>
                <c:ptCount val="10"/>
                <c:pt idx="0">
                  <c:v>Bookshelf</c:v>
                </c:pt>
                <c:pt idx="1">
                  <c:v>Smartphone</c:v>
                </c:pt>
                <c:pt idx="2">
                  <c:v>Keyboard</c:v>
                </c:pt>
                <c:pt idx="3">
                  <c:v>Monitor</c:v>
                </c:pt>
                <c:pt idx="4">
                  <c:v>Blender</c:v>
                </c:pt>
                <c:pt idx="5">
                  <c:v>Desk</c:v>
                </c:pt>
                <c:pt idx="6">
                  <c:v>Laptop</c:v>
                </c:pt>
                <c:pt idx="7">
                  <c:v>Office Chair</c:v>
                </c:pt>
                <c:pt idx="8">
                  <c:v>Headphones</c:v>
                </c:pt>
                <c:pt idx="9">
                  <c:v>Coffee Maker</c:v>
                </c:pt>
              </c:strCache>
            </c:strRef>
          </c:cat>
          <c:val>
            <c:numRef>
              <c:f>'Product Analysis Pivot'!$B$4:$B$14</c:f>
              <c:numCache>
                <c:formatCode>[&gt;=10000000]\₹##\,##\,##\,##0.00;[&gt;=100000]\₹##\,##\,##0.00;\₹#,##0.00</c:formatCode>
                <c:ptCount val="10"/>
                <c:pt idx="0">
                  <c:v>15298.979999999994</c:v>
                </c:pt>
                <c:pt idx="1">
                  <c:v>67199.039999999994</c:v>
                </c:pt>
                <c:pt idx="2">
                  <c:v>8009.1099999999969</c:v>
                </c:pt>
                <c:pt idx="3">
                  <c:v>21999.119999999999</c:v>
                </c:pt>
                <c:pt idx="4">
                  <c:v>5219.1299999999974</c:v>
                </c:pt>
                <c:pt idx="5">
                  <c:v>23399.22</c:v>
                </c:pt>
                <c:pt idx="6">
                  <c:v>67499.25</c:v>
                </c:pt>
                <c:pt idx="7">
                  <c:v>10399.479999999998</c:v>
                </c:pt>
                <c:pt idx="8">
                  <c:v>7049.5299999999988</c:v>
                </c:pt>
                <c:pt idx="9">
                  <c:v>3119.6099999999992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7-4C5E-ABF1-F19ADAAF9197}"/>
            </c:ext>
          </c:extLst>
        </c:ser>
        <c:ser>
          <c:idx val="1"/>
          <c:order val="1"/>
          <c:tx>
            <c:strRef>
              <c:f>'Product Analysis Pivot'!$C$3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 Pivot'!$A$4:$A$14</c:f>
              <c:strCache>
                <c:ptCount val="10"/>
                <c:pt idx="0">
                  <c:v>Bookshelf</c:v>
                </c:pt>
                <c:pt idx="1">
                  <c:v>Smartphone</c:v>
                </c:pt>
                <c:pt idx="2">
                  <c:v>Keyboard</c:v>
                </c:pt>
                <c:pt idx="3">
                  <c:v>Monitor</c:v>
                </c:pt>
                <c:pt idx="4">
                  <c:v>Blender</c:v>
                </c:pt>
                <c:pt idx="5">
                  <c:v>Desk</c:v>
                </c:pt>
                <c:pt idx="6">
                  <c:v>Laptop</c:v>
                </c:pt>
                <c:pt idx="7">
                  <c:v>Office Chair</c:v>
                </c:pt>
                <c:pt idx="8">
                  <c:v>Headphones</c:v>
                </c:pt>
                <c:pt idx="9">
                  <c:v>Coffee Maker</c:v>
                </c:pt>
              </c:strCache>
            </c:strRef>
          </c:cat>
          <c:val>
            <c:numRef>
              <c:f>'Product Analysis Pivot'!$C$4:$C$14</c:f>
              <c:numCache>
                <c:formatCode>General</c:formatCode>
                <c:ptCount val="10"/>
                <c:pt idx="0">
                  <c:v>102</c:v>
                </c:pt>
                <c:pt idx="1">
                  <c:v>96</c:v>
                </c:pt>
                <c:pt idx="2">
                  <c:v>89</c:v>
                </c:pt>
                <c:pt idx="3">
                  <c:v>88</c:v>
                </c:pt>
                <c:pt idx="4">
                  <c:v>87</c:v>
                </c:pt>
                <c:pt idx="5">
                  <c:v>78</c:v>
                </c:pt>
                <c:pt idx="6">
                  <c:v>75</c:v>
                </c:pt>
                <c:pt idx="7">
                  <c:v>52</c:v>
                </c:pt>
                <c:pt idx="8">
                  <c:v>47</c:v>
                </c:pt>
                <c:pt idx="9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7-4C5E-ABF1-F19ADAAF9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724488"/>
        <c:axId val="296727048"/>
      </c:barChart>
      <c:catAx>
        <c:axId val="296724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727048"/>
        <c:crosses val="autoZero"/>
        <c:auto val="1"/>
        <c:lblAlgn val="ctr"/>
        <c:lblOffset val="100"/>
        <c:noMultiLvlLbl val="0"/>
      </c:catAx>
      <c:valAx>
        <c:axId val="29672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]\₹##\,##\,##\,##0.00;[&gt;=100000]\₹##\,##\,##0.00;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7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Pivot Chart (Line) – 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Visualizations!B25</c:f>
              <c:strCache>
                <c:ptCount val="1"/>
                <c:pt idx="0">
                  <c:v>Revenue</c:v>
                </c:pt>
              </c:strCache>
            </c:strRef>
          </c:tx>
          <c:spPr>
            <a:ln w="28000">
              <a:solidFill>
                <a:srgbClr val="2A9D8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9D8F"/>
              </a:solidFill>
              <a:ln>
                <a:solidFill>
                  <a:srgbClr val="2A9D8F"/>
                </a:solidFill>
                <a:prstDash val="solid"/>
              </a:ln>
            </c:spPr>
          </c:marker>
          <c:cat>
            <c:strRef>
              <c:f>Visualizations!$A$26:$A$38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Visualizations!$B$26:$B$38</c:f>
              <c:numCache>
                <c:formatCode>[&gt;=10000000]\₹##\,##\,##\,##0;[&gt;=100000]\₹##\,##\,##0;\₹#,##0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E-4B74-B0B0-36EFE67C1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Pivot Chart (Pie) – Revenue Share by Category</a:t>
            </a:r>
          </a:p>
        </c:rich>
      </c:tx>
      <c:layout>
        <c:manualLayout>
          <c:xMode val="edge"/>
          <c:yMode val="edge"/>
          <c:x val="0.2626376338208089"/>
          <c:y val="0.90321733976801288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Visualizations!B45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A5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B4-4D17-A7AD-3E90C5ACB567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B4-4D17-A7AD-3E90C5ACB567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B4-4D17-A7AD-3E90C5ACB56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Visualizations!$A$46:$A$48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Visualizations!$B$46:$B$48</c:f>
              <c:numCache>
                <c:formatCode>[&gt;=10000000]\₹##\,##\,##\,##0;[&gt;=100000]\₹##\,##\,##0;\₹#,##0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4-4D17-A7AD-3E90C5ACB56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Customers by Total Spend</a:t>
            </a:r>
          </a:p>
        </c:rich>
      </c:tx>
      <c:layout>
        <c:manualLayout>
          <c:xMode val="edge"/>
          <c:yMode val="edge"/>
          <c:x val="0.38407260148243239"/>
          <c:y val="0.9235722868177626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Visualizations!B65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c:spPr>
          <c:invertIfNegative val="1"/>
          <c:cat>
            <c:strRef>
              <c:f>Visualizations!$A$66:$A$75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Visualizations!$B$66:$B$75</c:f>
              <c:numCache>
                <c:formatCode>[&gt;=10000000]\₹##\,##\,##\,##0;[&gt;=100000]\₹##\,##\,##0;\₹#,##0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A5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0A-40AB-B9C8-F0129AC6E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Visualizations!$B$5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Visualizations!$B$6:$B$10</c:f>
              <c:numCache>
                <c:formatCode>[&gt;=10000000]\₹##\,##\,##\,##0;[&gt;=100000]\₹##\,##\,##0;\₹#,##0</c:formatCode>
                <c:ptCount val="5"/>
                <c:pt idx="0">
                  <c:v>1999.71</c:v>
                </c:pt>
                <c:pt idx="1">
                  <c:v>2239.67</c:v>
                </c:pt>
                <c:pt idx="2">
                  <c:v>1119.8399999999999</c:v>
                </c:pt>
                <c:pt idx="3">
                  <c:v>1099.83</c:v>
                </c:pt>
                <c:pt idx="4">
                  <c:v>1879.69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E-45E5-96CC-BE64595E1257}"/>
            </c:ext>
          </c:extLst>
        </c:ser>
        <c:ser>
          <c:idx val="1"/>
          <c:order val="1"/>
          <c:tx>
            <c:strRef>
              <c:f>Visualizations!$C$5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Visualizations!$A$6:$A$10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Visualizations!$C$6:$C$10</c:f>
              <c:numCache>
                <c:formatCode>[&gt;=10000000]\₹##\,##\,##\,##0;[&gt;=100000]\₹##\,##\,##0;\₹#,##0</c:formatCode>
                <c:ptCount val="5"/>
                <c:pt idx="0">
                  <c:v>24889.329999999998</c:v>
                </c:pt>
                <c:pt idx="1">
                  <c:v>50649.009999999995</c:v>
                </c:pt>
                <c:pt idx="2">
                  <c:v>39239.040000000015</c:v>
                </c:pt>
                <c:pt idx="3">
                  <c:v>25549.32</c:v>
                </c:pt>
                <c:pt idx="4">
                  <c:v>31429.35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E-45E5-96CC-BE64595E1257}"/>
            </c:ext>
          </c:extLst>
        </c:ser>
        <c:ser>
          <c:idx val="2"/>
          <c:order val="2"/>
          <c:tx>
            <c:strRef>
              <c:f>Visualizations!$D$5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Visualizations!$A$6:$A$10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Visualizations!$D$6:$D$10</c:f>
              <c:numCache>
                <c:formatCode>[&gt;=10000000]\₹##\,##\,##\,##0;[&gt;=100000]\₹##\,##\,##0;\₹#,##0</c:formatCode>
                <c:ptCount val="5"/>
                <c:pt idx="0">
                  <c:v>14399.300000000001</c:v>
                </c:pt>
                <c:pt idx="1">
                  <c:v>6399.71</c:v>
                </c:pt>
                <c:pt idx="2">
                  <c:v>10449.429999999997</c:v>
                </c:pt>
                <c:pt idx="3">
                  <c:v>9749.5999999999985</c:v>
                </c:pt>
                <c:pt idx="4">
                  <c:v>8099.6400000000012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E-45E5-96CC-BE64595E1257}"/>
            </c:ext>
          </c:extLst>
        </c:ser>
        <c:ser>
          <c:idx val="3"/>
          <c:order val="3"/>
          <c:tx>
            <c:strRef>
              <c:f>Visualizations!$E$5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Visualizations!$A$6:$A$10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Visualizations!$E$6:$E$10</c:f>
              <c:numCache>
                <c:formatCode>[&gt;=10000000]\₹##\,##\,##\,##0;[&gt;=100000]\₹##\,##\,##0;\₹#,##0</c:formatCode>
                <c:ptCount val="5"/>
                <c:pt idx="0">
                  <c:v>41288.339999999997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EE-45E5-96CC-BE64595E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52008"/>
        <c:axId val="97340936"/>
      </c:barChart>
      <c:catAx>
        <c:axId val="9715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0936"/>
        <c:crosses val="autoZero"/>
        <c:auto val="1"/>
        <c:lblAlgn val="ctr"/>
        <c:lblOffset val="100"/>
        <c:noMultiLvlLbl val="0"/>
      </c:catAx>
      <c:valAx>
        <c:axId val="973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]\₹##\,##\,##\,##0;[&gt;=100000]\₹##\,##\,##0;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5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>
        <c:manualLayout>
          <c:xMode val="edge"/>
          <c:yMode val="edge"/>
          <c:x val="0.40844480755265067"/>
          <c:y val="6.8350716873451511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c:spPr>
          <c:invertIfNegative val="1"/>
          <c:cat>
            <c:strRef>
              <c:f>Dashboard!$A$13:$A$17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Dashboard!$B$13:$B$17</c:f>
              <c:numCache>
                <c:formatCode>[&gt;=10000000]\₹##\,##\,##\,##0;[&gt;=100000]\₹##\,##\,##0;\₹#,##0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A5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8F-41A2-97E5-0D2AC630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>
        <c:manualLayout>
          <c:xMode val="edge"/>
          <c:yMode val="edge"/>
          <c:x val="0.41093498252142835"/>
          <c:y val="7.864002386728923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Dashboard!B57</c:f>
              <c:strCache>
                <c:ptCount val="1"/>
                <c:pt idx="0">
                  <c:v>Revenue</c:v>
                </c:pt>
              </c:strCache>
            </c:strRef>
          </c:tx>
          <c:spPr>
            <a:ln w="28000">
              <a:solidFill>
                <a:srgbClr val="2A9D8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9D8F"/>
              </a:solidFill>
              <a:ln>
                <a:solidFill>
                  <a:srgbClr val="2A9D8F"/>
                </a:solidFill>
                <a:prstDash val="solid"/>
              </a:ln>
            </c:spPr>
          </c:marker>
          <c:cat>
            <c:strRef>
              <c:f>Dashboard!$A$58:$A$70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Dashboard!$B$58:$B$70</c:f>
              <c:numCache>
                <c:formatCode>[&gt;=10000000]\₹##\,##\,##\,##0;[&gt;=100000]\₹##\,##\,##0;\₹#,##0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6-44D7-B32A-339A83D4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Share by Category</a:t>
            </a:r>
          </a:p>
        </c:rich>
      </c:tx>
      <c:layout>
        <c:manualLayout>
          <c:xMode val="edge"/>
          <c:yMode val="edge"/>
          <c:x val="0.36358678286129265"/>
          <c:y val="0.91575238210183607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Dashboard!E57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F3A5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6C-4ED0-A2BF-441B9FF827C2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6C-4ED0-A2BF-441B9FF827C2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6C-4ED0-A2BF-441B9FF827C2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Dashboard!$D$58:$D$60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Dashboard!$E$58:$E$60</c:f>
              <c:numCache>
                <c:formatCode>[&gt;=10000000]\₹##\,##\,##\,##0;[&gt;=100000]\₹##\,##\,##0;\₹#,##0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6C-4ED0-A2BF-441B9FF827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5 Products by Units</a:t>
            </a:r>
          </a:p>
        </c:rich>
      </c:tx>
      <c:layout>
        <c:manualLayout>
          <c:xMode val="edge"/>
          <c:yMode val="edge"/>
          <c:x val="0.37626831585476173"/>
          <c:y val="0.91722228950924345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Dashboard!B74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c:spPr>
          <c:invertIfNegative val="1"/>
          <c:cat>
            <c:strRef>
              <c:f>Dashboard!$A$75:$A$79</c:f>
              <c:strCache>
                <c:ptCount val="5"/>
                <c:pt idx="0">
                  <c:v>Bookshelf</c:v>
                </c:pt>
                <c:pt idx="1">
                  <c:v>Smartphone</c:v>
                </c:pt>
                <c:pt idx="2">
                  <c:v>Keyboard</c:v>
                </c:pt>
                <c:pt idx="3">
                  <c:v>Monitor</c:v>
                </c:pt>
                <c:pt idx="4">
                  <c:v>Blender</c:v>
                </c:pt>
              </c:strCache>
            </c:strRef>
          </c:cat>
          <c:val>
            <c:numRef>
              <c:f>Dashboard!$B$75:$B$79</c:f>
              <c:numCache>
                <c:formatCode>0</c:formatCode>
                <c:ptCount val="5"/>
                <c:pt idx="0">
                  <c:v>102</c:v>
                </c:pt>
                <c:pt idx="1">
                  <c:v>96</c:v>
                </c:pt>
                <c:pt idx="2">
                  <c:v>89</c:v>
                </c:pt>
                <c:pt idx="3">
                  <c:v>88</c:v>
                </c:pt>
                <c:pt idx="4">
                  <c:v>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9D8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65-4F7E-AAB3-CD5E199F9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171450</xdr:rowOff>
    </xdr:from>
    <xdr:to>
      <xdr:col>13</xdr:col>
      <xdr:colOff>304800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95EFF-B874-B444-5C8F-0C864727A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504825</xdr:colOff>
      <xdr:row>43</xdr:row>
      <xdr:rowOff>28575</xdr:rowOff>
    </xdr:from>
    <xdr:to>
      <xdr:col>19</xdr:col>
      <xdr:colOff>238125</xdr:colOff>
      <xdr:row>93</xdr:row>
      <xdr:rowOff>57150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DA8AB4D7-7FD1-FE1F-21D4-8ACA0975F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06400" y="600075"/>
              <a:ext cx="27813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19</xdr:col>
      <xdr:colOff>600075</xdr:colOff>
      <xdr:row>43</xdr:row>
      <xdr:rowOff>19050</xdr:rowOff>
    </xdr:from>
    <xdr:to>
      <xdr:col>24</xdr:col>
      <xdr:colOff>266700</xdr:colOff>
      <xdr:row>89</xdr:row>
      <xdr:rowOff>28575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83E87144-9BBA-7428-4A6F-70132EEA80EB}"/>
                </a:ext>
                <a:ext uri="{147F2762-F138-4A5C-976F-8EAC2B608ADB}">
                  <a16:predDERef xmlns:a16="http://schemas.microsoft.com/office/drawing/2014/main" pred="{DA8AB4D7-7FD1-FE1F-21D4-8ACA0975F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49650" y="590550"/>
              <a:ext cx="2714625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8</xdr:row>
      <xdr:rowOff>171450</xdr:rowOff>
    </xdr:from>
    <xdr:to>
      <xdr:col>13</xdr:col>
      <xdr:colOff>352425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09463-FDC5-A51C-1108-BB191014E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600075</xdr:colOff>
      <xdr:row>2</xdr:row>
      <xdr:rowOff>19050</xdr:rowOff>
    </xdr:from>
    <xdr:to>
      <xdr:col>16</xdr:col>
      <xdr:colOff>600075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7E8FCC54-E74F-33BB-FC4B-1A1EDB8B374E}"/>
                </a:ext>
                <a:ext uri="{147F2762-F138-4A5C-976F-8EAC2B608ADB}">
                  <a16:predDERef xmlns:a16="http://schemas.microsoft.com/office/drawing/2014/main" pred="{A7409463-FDC5-A51C-1108-BB191014E9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4050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295275</xdr:colOff>
      <xdr:row>2</xdr:row>
      <xdr:rowOff>9525</xdr:rowOff>
    </xdr:from>
    <xdr:to>
      <xdr:col>20</xdr:col>
      <xdr:colOff>295275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57F0A5A5-C1EB-4324-64E4-9C82A61D43C1}"/>
                </a:ext>
                <a:ext uri="{147F2762-F138-4A5C-976F-8EAC2B608ADB}">
                  <a16:predDERef xmlns:a16="http://schemas.microsoft.com/office/drawing/2014/main" pred="{7E8FCC54-E74F-33BB-FC4B-1A1EDB8B37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7650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257175</xdr:colOff>
      <xdr:row>0</xdr:row>
      <xdr:rowOff>114300</xdr:rowOff>
    </xdr:from>
    <xdr:to>
      <xdr:col>10</xdr:col>
      <xdr:colOff>542925</xdr:colOff>
      <xdr:row>7</xdr:row>
      <xdr:rowOff>152400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0BD2B529-2847-0FAD-B6EB-7B35C43864B0}"/>
                </a:ext>
                <a:ext uri="{147F2762-F138-4A5C-976F-8EAC2B608ADB}">
                  <a16:predDERef xmlns:a16="http://schemas.microsoft.com/office/drawing/2014/main" pred="{57F0A5A5-C1EB-4324-64E4-9C82A61D43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50" y="1143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</xdr:row>
      <xdr:rowOff>0</xdr:rowOff>
    </xdr:from>
    <xdr:to>
      <xdr:col>13</xdr:col>
      <xdr:colOff>161925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48C92-75BD-FFAD-B8C7-1ED84D407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514350</xdr:colOff>
      <xdr:row>2</xdr:row>
      <xdr:rowOff>9525</xdr:rowOff>
    </xdr:from>
    <xdr:to>
      <xdr:col>16</xdr:col>
      <xdr:colOff>514350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 2">
              <a:extLst>
                <a:ext uri="{FF2B5EF4-FFF2-40B4-BE49-F238E27FC236}">
                  <a16:creationId xmlns:a16="http://schemas.microsoft.com/office/drawing/2014/main" id="{F3B7A492-0AEF-2A96-20AB-198185759B87}"/>
                </a:ext>
                <a:ext uri="{147F2762-F138-4A5C-976F-8EAC2B608ADB}">
                  <a16:predDERef xmlns:a16="http://schemas.microsoft.com/office/drawing/2014/main" pred="{F9D48C92-75BD-FFAD-B8C7-1ED84D4071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8900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209550</xdr:colOff>
      <xdr:row>1</xdr:row>
      <xdr:rowOff>171450</xdr:rowOff>
    </xdr:from>
    <xdr:to>
      <xdr:col>20</xdr:col>
      <xdr:colOff>209550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 2">
              <a:extLst>
                <a:ext uri="{FF2B5EF4-FFF2-40B4-BE49-F238E27FC236}">
                  <a16:creationId xmlns:a16="http://schemas.microsoft.com/office/drawing/2014/main" id="{BBA387A3-DF8B-97FA-2C75-2210A2041CB9}"/>
                </a:ext>
                <a:ext uri="{147F2762-F138-4A5C-976F-8EAC2B608ADB}">
                  <a16:predDERef xmlns:a16="http://schemas.microsoft.com/office/drawing/2014/main" pred="{F3B7A492-0AEF-2A96-20AB-198185759B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0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23</xdr:row>
      <xdr:rowOff>0</xdr:rowOff>
    </xdr:from>
    <xdr:ext cx="55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85725</xdr:colOff>
      <xdr:row>42</xdr:row>
      <xdr:rowOff>76200</xdr:rowOff>
    </xdr:from>
    <xdr:ext cx="5581650" cy="29527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63</xdr:row>
      <xdr:rowOff>0</xdr:rowOff>
    </xdr:from>
    <xdr:ext cx="558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6</xdr:col>
      <xdr:colOff>276225</xdr:colOff>
      <xdr:row>2</xdr:row>
      <xdr:rowOff>142875</xdr:rowOff>
    </xdr:from>
    <xdr:to>
      <xdr:col>13</xdr:col>
      <xdr:colOff>581025</xdr:colOff>
      <xdr:row>15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37989F-777D-8BAC-E674-A71EE364EF10}"/>
            </a:ext>
            <a:ext uri="{147F2762-F138-4A5C-976F-8EAC2B608ADB}">
              <a16:predDERef xmlns:a16="http://schemas.microsoft.com/office/drawing/2014/main" pre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508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508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152400</xdr:rowOff>
    </xdr:from>
    <xdr:ext cx="5508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  <a:ext uri="{147F2762-F138-4A5C-976F-8EAC2B608ADB}">
              <a16:predDERef xmlns:a16="http://schemas.microsoft.com/office/drawing/2014/main" pre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35</xdr:row>
      <xdr:rowOff>0</xdr:rowOff>
    </xdr:from>
    <xdr:ext cx="5508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960599305552" createdVersion="8" refreshedVersion="8" minRefreshableVersion="3" recordCount="250" xr:uid="{4CC0A360-4321-45A0-8028-FDCD3F561900}">
  <cacheSource type="worksheet">
    <worksheetSource name="tblTransactions"/>
  </cacheSource>
  <cacheFields count="14">
    <cacheField name="Transaction_ID" numFmtId="0">
      <sharedItems/>
    </cacheField>
    <cacheField name="Date" numFmtId="165">
      <sharedItems containsSemiMixedTypes="0" containsNonDate="0" containsDate="1" containsString="0" minDate="2024-04-11T00:00:00" maxDate="2025-04-12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/>
    </cacheField>
    <cacheField name="Customer_Name" numFmtId="0">
      <sharedItems/>
    </cacheField>
    <cacheField name="Product_ID" numFmtId="0">
      <sharedItems/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6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65">
      <sharedItems containsSemiMixedTypes="0" containsNonDate="0" containsDate="1" containsString="0" minDate="2021-07-18T00:00:00" maxDate="2024-04-12T00:00:00"/>
    </cacheField>
    <cacheField name="Total_Amount" numFmtId="166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 pivotCacheId="57480380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x v="0"/>
    <s v="CUST023"/>
    <s v="Paul Baker"/>
    <s v="P009"/>
    <x v="0"/>
    <x v="0"/>
    <n v="3"/>
    <n v="249.99"/>
    <s v="Cash"/>
    <x v="0"/>
    <s v="Basic"/>
    <d v="2021-08-17T00:00:00"/>
    <n v="749.97"/>
  </r>
  <r>
    <s v="TRX0023"/>
    <x v="1"/>
    <s v="CUST013"/>
    <s v="Joseph Jackson"/>
    <s v="P009"/>
    <x v="0"/>
    <x v="0"/>
    <n v="3"/>
    <n v="249.99"/>
    <s v="Credit Card"/>
    <x v="0"/>
    <s v="Premium"/>
    <d v="2022-01-14T00:00:00"/>
    <n v="749.97"/>
  </r>
  <r>
    <s v="TRX0139"/>
    <x v="2"/>
    <s v="CUST021"/>
    <s v="Kevin Scott"/>
    <s v="P005"/>
    <x v="1"/>
    <x v="1"/>
    <n v="3"/>
    <n v="59.99"/>
    <s v="PayPal"/>
    <x v="1"/>
    <s v="Standard"/>
    <d v="2023-12-02T00:00:00"/>
    <n v="179.97"/>
  </r>
  <r>
    <s v="TRX0043"/>
    <x v="3"/>
    <s v="CUST046"/>
    <s v="Kathleen Bennett"/>
    <s v="P005"/>
    <x v="1"/>
    <x v="1"/>
    <n v="3"/>
    <n v="59.99"/>
    <s v="Cash"/>
    <x v="2"/>
    <s v="Premium"/>
    <d v="2023-07-07T00:00:00"/>
    <n v="179.97"/>
  </r>
  <r>
    <s v="TRX0212"/>
    <x v="3"/>
    <s v="CUST003"/>
    <s v="Michael Brown"/>
    <s v="P008"/>
    <x v="2"/>
    <x v="2"/>
    <n v="5"/>
    <n v="149.99"/>
    <s v="Credit Card"/>
    <x v="2"/>
    <s v="Premium"/>
    <d v="2024-01-04T00:00:00"/>
    <n v="749.95"/>
  </r>
  <r>
    <s v="TRX0092"/>
    <x v="4"/>
    <s v="CUST024"/>
    <s v="Dorothy Nelson"/>
    <s v="P005"/>
    <x v="1"/>
    <x v="1"/>
    <n v="2"/>
    <n v="59.99"/>
    <s v="Cash"/>
    <x v="3"/>
    <s v="Standard"/>
    <d v="2022-07-04T00:00:00"/>
    <n v="119.98"/>
  </r>
  <r>
    <s v="TRX0193"/>
    <x v="4"/>
    <s v="CUST024"/>
    <s v="Dorothy Nelson"/>
    <s v="P003"/>
    <x v="3"/>
    <x v="0"/>
    <n v="5"/>
    <n v="149.99"/>
    <s v="Credit Card"/>
    <x v="0"/>
    <s v="Standard"/>
    <d v="2021-08-10T00:00:00"/>
    <n v="749.95"/>
  </r>
  <r>
    <s v="TRX0240"/>
    <x v="4"/>
    <s v="CUST017"/>
    <s v="Charles Allen"/>
    <s v="P005"/>
    <x v="1"/>
    <x v="1"/>
    <n v="3"/>
    <n v="59.99"/>
    <s v="Debit Card"/>
    <x v="1"/>
    <s v="Basic"/>
    <d v="2023-03-22T00:00:00"/>
    <n v="179.97"/>
  </r>
  <r>
    <s v="TRX0135"/>
    <x v="5"/>
    <s v="CUST009"/>
    <s v="Robert Thomas"/>
    <s v="P001"/>
    <x v="4"/>
    <x v="0"/>
    <n v="3"/>
    <n v="899.99"/>
    <s v="PayPal"/>
    <x v="4"/>
    <s v="Standard"/>
    <d v="2024-01-08T00:00:00"/>
    <n v="2699.97"/>
  </r>
  <r>
    <s v="TRX0185"/>
    <x v="6"/>
    <s v="CUST026"/>
    <s v="Karen Hill"/>
    <s v="P005"/>
    <x v="1"/>
    <x v="1"/>
    <n v="3"/>
    <n v="59.99"/>
    <s v="Cash"/>
    <x v="3"/>
    <s v="Premium"/>
    <d v="2023-10-08T00:00:00"/>
    <n v="179.97"/>
  </r>
  <r>
    <s v="TRX0138"/>
    <x v="6"/>
    <s v="CUST022"/>
    <s v="Susan Green"/>
    <s v="P008"/>
    <x v="2"/>
    <x v="2"/>
    <n v="1"/>
    <n v="149.99"/>
    <s v="Credit Card"/>
    <x v="3"/>
    <s v="Standard"/>
    <d v="2023-06-26T00:00:00"/>
    <n v="149.99"/>
  </r>
  <r>
    <s v="TRX0209"/>
    <x v="6"/>
    <s v="CUST046"/>
    <s v="Kathleen Bennett"/>
    <s v="P008"/>
    <x v="2"/>
    <x v="2"/>
    <n v="5"/>
    <n v="149.99"/>
    <s v="Debit Card"/>
    <x v="2"/>
    <s v="Basic"/>
    <d v="2022-09-26T00:00:00"/>
    <n v="749.95"/>
  </r>
  <r>
    <s v="TRX0246"/>
    <x v="6"/>
    <s v="CUST041"/>
    <s v="Peter Richardson"/>
    <s v="P008"/>
    <x v="2"/>
    <x v="2"/>
    <n v="3"/>
    <n v="149.99"/>
    <s v="Cash"/>
    <x v="2"/>
    <s v="Premium"/>
    <d v="2022-09-02T00:00:00"/>
    <n v="449.97"/>
  </r>
  <r>
    <s v="TRX0067"/>
    <x v="7"/>
    <s v="CUST043"/>
    <s v="Dennis Gray"/>
    <s v="P005"/>
    <x v="1"/>
    <x v="1"/>
    <n v="3"/>
    <n v="59.99"/>
    <s v="Credit Card"/>
    <x v="2"/>
    <s v="Standard"/>
    <d v="2024-02-29T00:00:00"/>
    <n v="179.97"/>
  </r>
  <r>
    <s v="TRX0191"/>
    <x v="7"/>
    <s v="CUST038"/>
    <s v="Michelle Rogers"/>
    <s v="P002"/>
    <x v="5"/>
    <x v="0"/>
    <n v="3"/>
    <n v="699.99"/>
    <s v="Credit Card"/>
    <x v="3"/>
    <s v="Basic"/>
    <d v="2022-01-16T00:00:00"/>
    <n v="2099.9699999999998"/>
  </r>
  <r>
    <s v="TRX0230"/>
    <x v="7"/>
    <s v="CUST027"/>
    <s v="George Adams"/>
    <s v="P001"/>
    <x v="4"/>
    <x v="0"/>
    <n v="1"/>
    <n v="899.99"/>
    <s v="Debit Card"/>
    <x v="2"/>
    <s v="Standard"/>
    <d v="2022-12-25T00:00:00"/>
    <n v="899.99"/>
  </r>
  <r>
    <s v="TRX0049"/>
    <x v="8"/>
    <s v="CUST025"/>
    <s v="Mark Carter"/>
    <s v="P008"/>
    <x v="2"/>
    <x v="2"/>
    <n v="4"/>
    <n v="149.99"/>
    <s v="Debit Card"/>
    <x v="2"/>
    <s v="Premium"/>
    <d v="2024-03-23T00:00:00"/>
    <n v="599.96"/>
  </r>
  <r>
    <s v="TRX0134"/>
    <x v="8"/>
    <s v="CUST010"/>
    <s v="Maria Garcia"/>
    <s v="P002"/>
    <x v="5"/>
    <x v="0"/>
    <n v="2"/>
    <n v="699.99"/>
    <s v="Cash"/>
    <x v="2"/>
    <s v="Basic"/>
    <d v="2022-08-08T00:00:00"/>
    <n v="1399.98"/>
  </r>
  <r>
    <s v="TRX0122"/>
    <x v="8"/>
    <s v="CUST025"/>
    <s v="Mark Carter"/>
    <s v="P001"/>
    <x v="4"/>
    <x v="0"/>
    <n v="4"/>
    <n v="899.99"/>
    <s v="Credit Card"/>
    <x v="3"/>
    <s v="Standard"/>
    <d v="2024-02-05T00:00:00"/>
    <n v="3599.96"/>
  </r>
  <r>
    <s v="TRX0222"/>
    <x v="8"/>
    <s v="CUST048"/>
    <s v="Virginia Sanders"/>
    <s v="P009"/>
    <x v="0"/>
    <x v="0"/>
    <n v="3"/>
    <n v="249.99"/>
    <s v="Credit Card"/>
    <x v="2"/>
    <s v="Premium"/>
    <d v="2023-10-25T00:00:00"/>
    <n v="749.97"/>
  </r>
  <r>
    <s v="TRX0231"/>
    <x v="9"/>
    <s v="CUST018"/>
    <s v="Barbara Young"/>
    <s v="P002"/>
    <x v="5"/>
    <x v="0"/>
    <n v="5"/>
    <n v="699.99"/>
    <s v="Cash"/>
    <x v="3"/>
    <s v="Basic"/>
    <d v="2023-08-29T00:00:00"/>
    <n v="3499.95"/>
  </r>
  <r>
    <s v="TRX0239"/>
    <x v="10"/>
    <s v="CUST012"/>
    <s v="Patricia Moore"/>
    <s v="P002"/>
    <x v="5"/>
    <x v="0"/>
    <n v="4"/>
    <n v="699.99"/>
    <s v="Cash"/>
    <x v="4"/>
    <s v="Standard"/>
    <d v="2021-08-01T00:00:00"/>
    <n v="2799.96"/>
  </r>
  <r>
    <s v="TRX0204"/>
    <x v="11"/>
    <s v="CUST044"/>
    <s v="Cynthia Price"/>
    <s v="P009"/>
    <x v="0"/>
    <x v="0"/>
    <n v="4"/>
    <n v="249.99"/>
    <s v="PayPal"/>
    <x v="2"/>
    <s v="Standard"/>
    <d v="2021-09-29T00:00:00"/>
    <n v="999.96"/>
  </r>
  <r>
    <s v="TRX0242"/>
    <x v="12"/>
    <s v="CUST025"/>
    <s v="Mark Carter"/>
    <s v="P007"/>
    <x v="6"/>
    <x v="2"/>
    <n v="4"/>
    <n v="299.99"/>
    <s v="Cash"/>
    <x v="3"/>
    <s v="Premium"/>
    <d v="2022-06-04T00:00:00"/>
    <n v="1199.96"/>
  </r>
  <r>
    <s v="TRX0071"/>
    <x v="13"/>
    <s v="CUST036"/>
    <s v="Nancy Collins"/>
    <s v="P009"/>
    <x v="0"/>
    <x v="0"/>
    <n v="5"/>
    <n v="249.99"/>
    <s v="Credit Card"/>
    <x v="3"/>
    <s v="Standard"/>
    <d v="2021-11-25T00:00:00"/>
    <n v="1249.95"/>
  </r>
  <r>
    <s v="TRX0040"/>
    <x v="14"/>
    <s v="CUST022"/>
    <s v="Susan Green"/>
    <s v="P007"/>
    <x v="6"/>
    <x v="2"/>
    <n v="5"/>
    <n v="299.99"/>
    <s v="PayPal"/>
    <x v="4"/>
    <s v="Basic"/>
    <d v="2023-08-30T00:00:00"/>
    <n v="1499.95"/>
  </r>
  <r>
    <s v="TRX0235"/>
    <x v="14"/>
    <s v="CUST014"/>
    <s v="Linda Martin"/>
    <s v="P004"/>
    <x v="7"/>
    <x v="1"/>
    <n v="3"/>
    <n v="79.989999999999995"/>
    <s v="PayPal"/>
    <x v="4"/>
    <s v="Premium"/>
    <d v="2023-03-27T00:00:00"/>
    <n v="239.97"/>
  </r>
  <r>
    <s v="TRX0004"/>
    <x v="14"/>
    <s v="CUST012"/>
    <s v="Patricia Moore"/>
    <s v="P010"/>
    <x v="8"/>
    <x v="0"/>
    <n v="5"/>
    <n v="89.99"/>
    <s v="Cash"/>
    <x v="2"/>
    <s v="Premium"/>
    <d v="2022-12-24T00:00:00"/>
    <n v="449.95"/>
  </r>
  <r>
    <s v="TRX0063"/>
    <x v="15"/>
    <s v="CUST030"/>
    <s v="Helen Roberts"/>
    <s v="P005"/>
    <x v="1"/>
    <x v="1"/>
    <n v="2"/>
    <n v="59.99"/>
    <s v="Debit Card"/>
    <x v="0"/>
    <s v="Standard"/>
    <d v="2023-10-15T00:00:00"/>
    <n v="119.98"/>
  </r>
  <r>
    <s v="TRX0241"/>
    <x v="16"/>
    <s v="CUST029"/>
    <s v="Edward Mitchell"/>
    <s v="P005"/>
    <x v="1"/>
    <x v="1"/>
    <n v="4"/>
    <n v="59.99"/>
    <s v="Debit Card"/>
    <x v="4"/>
    <s v="Standard"/>
    <d v="2022-11-02T00:00:00"/>
    <n v="239.96"/>
  </r>
  <r>
    <s v="TRX0029"/>
    <x v="16"/>
    <s v="CUST017"/>
    <s v="Charles Allen"/>
    <s v="P006"/>
    <x v="9"/>
    <x v="2"/>
    <n v="5"/>
    <n v="199.99"/>
    <s v="Cash"/>
    <x v="1"/>
    <s v="Standard"/>
    <d v="2021-08-04T00:00:00"/>
    <n v="999.95"/>
  </r>
  <r>
    <s v="TRX0194"/>
    <x v="17"/>
    <s v="CUST006"/>
    <s v="Lisa Anderson"/>
    <s v="P008"/>
    <x v="2"/>
    <x v="2"/>
    <n v="2"/>
    <n v="149.99"/>
    <s v="Credit Card"/>
    <x v="3"/>
    <s v="Basic"/>
    <d v="2022-09-19T00:00:00"/>
    <n v="299.98"/>
  </r>
  <r>
    <s v="TRX0130"/>
    <x v="18"/>
    <s v="CUST002"/>
    <s v="Emma Wilson"/>
    <s v="P008"/>
    <x v="2"/>
    <x v="2"/>
    <n v="3"/>
    <n v="149.99"/>
    <s v="Credit Card"/>
    <x v="3"/>
    <s v="Premium"/>
    <d v="2023-05-22T00:00:00"/>
    <n v="449.97"/>
  </r>
  <r>
    <s v="TRX0041"/>
    <x v="19"/>
    <s v="CUST021"/>
    <s v="Kevin Scott"/>
    <s v="P001"/>
    <x v="4"/>
    <x v="0"/>
    <n v="1"/>
    <n v="899.99"/>
    <s v="Credit Card"/>
    <x v="3"/>
    <s v="Premium"/>
    <d v="2022-01-17T00:00:00"/>
    <n v="899.99"/>
  </r>
  <r>
    <s v="TRX0232"/>
    <x v="20"/>
    <s v="CUST012"/>
    <s v="Patricia Moore"/>
    <s v="P007"/>
    <x v="6"/>
    <x v="2"/>
    <n v="3"/>
    <n v="299.99"/>
    <s v="Credit Card"/>
    <x v="4"/>
    <s v="Basic"/>
    <d v="2022-09-20T00:00:00"/>
    <n v="899.97"/>
  </r>
  <r>
    <s v="TRX0021"/>
    <x v="21"/>
    <s v="CUST006"/>
    <s v="Lisa Anderson"/>
    <s v="P004"/>
    <x v="7"/>
    <x v="1"/>
    <n v="3"/>
    <n v="79.989999999999995"/>
    <s v="Cash"/>
    <x v="1"/>
    <s v="Basic"/>
    <d v="2023-04-30T00:00:00"/>
    <n v="239.97"/>
  </r>
  <r>
    <s v="TRX0245"/>
    <x v="22"/>
    <s v="CUST031"/>
    <s v="Steven Turner"/>
    <s v="P006"/>
    <x v="9"/>
    <x v="2"/>
    <n v="3"/>
    <n v="199.99"/>
    <s v="Credit Card"/>
    <x v="2"/>
    <s v="Premium"/>
    <d v="2024-01-01T00:00:00"/>
    <n v="599.97"/>
  </r>
  <r>
    <s v="TRX0015"/>
    <x v="23"/>
    <s v="CUST008"/>
    <s v="Jennifer Taylor"/>
    <s v="P002"/>
    <x v="5"/>
    <x v="0"/>
    <n v="5"/>
    <n v="699.99"/>
    <s v="PayPal"/>
    <x v="3"/>
    <s v="Standard"/>
    <d v="2021-07-30T00:00:00"/>
    <n v="3499.95"/>
  </r>
  <r>
    <s v="TRX0202"/>
    <x v="24"/>
    <s v="CUST035"/>
    <s v="Harry Morgan"/>
    <s v="P010"/>
    <x v="8"/>
    <x v="0"/>
    <n v="3"/>
    <n v="89.99"/>
    <s v="PayPal"/>
    <x v="0"/>
    <s v="Premium"/>
    <d v="2023-07-13T00:00:00"/>
    <n v="269.97000000000003"/>
  </r>
  <r>
    <s v="TRX0042"/>
    <x v="25"/>
    <s v="CUST019"/>
    <s v="Daniel King"/>
    <s v="P004"/>
    <x v="7"/>
    <x v="1"/>
    <n v="1"/>
    <n v="79.989999999999995"/>
    <s v="Cash"/>
    <x v="2"/>
    <s v="Standard"/>
    <d v="2022-12-22T00:00:00"/>
    <n v="79.989999999999995"/>
  </r>
  <r>
    <s v="TRX0128"/>
    <x v="26"/>
    <s v="CUST040"/>
    <s v="Sharon Butler"/>
    <s v="P005"/>
    <x v="1"/>
    <x v="1"/>
    <n v="2"/>
    <n v="59.99"/>
    <s v="Cash"/>
    <x v="3"/>
    <s v="Basic"/>
    <d v="2024-04-08T00:00:00"/>
    <n v="119.98"/>
  </r>
  <r>
    <s v="TRX0117"/>
    <x v="26"/>
    <s v="CUST017"/>
    <s v="Charles Allen"/>
    <s v="P010"/>
    <x v="8"/>
    <x v="0"/>
    <n v="1"/>
    <n v="89.99"/>
    <s v="Cash"/>
    <x v="2"/>
    <s v="Basic"/>
    <d v="2023-08-03T00:00:00"/>
    <n v="89.99"/>
  </r>
  <r>
    <s v="TRX0208"/>
    <x v="27"/>
    <s v="CUST004"/>
    <s v="Sarah Davis"/>
    <s v="P010"/>
    <x v="8"/>
    <x v="0"/>
    <n v="5"/>
    <n v="89.99"/>
    <s v="Credit Card"/>
    <x v="4"/>
    <s v="Standard"/>
    <d v="2022-01-26T00:00:00"/>
    <n v="449.95"/>
  </r>
  <r>
    <s v="TRX0234"/>
    <x v="28"/>
    <s v="CUST013"/>
    <s v="Joseph Jackson"/>
    <s v="P009"/>
    <x v="0"/>
    <x v="0"/>
    <n v="5"/>
    <n v="249.99"/>
    <s v="Credit Card"/>
    <x v="4"/>
    <s v="Standard"/>
    <d v="2022-05-26T00:00:00"/>
    <n v="1249.95"/>
  </r>
  <r>
    <s v="TRX0121"/>
    <x v="28"/>
    <s v="CUST028"/>
    <s v="Betty Campbell"/>
    <s v="P010"/>
    <x v="8"/>
    <x v="0"/>
    <n v="1"/>
    <n v="89.99"/>
    <s v="Credit Card"/>
    <x v="1"/>
    <s v="Standard"/>
    <d v="2022-01-21T00:00:00"/>
    <n v="89.99"/>
  </r>
  <r>
    <s v="TRX0220"/>
    <x v="29"/>
    <s v="CUST003"/>
    <s v="Michael Brown"/>
    <s v="P008"/>
    <x v="2"/>
    <x v="2"/>
    <n v="2"/>
    <n v="149.99"/>
    <s v="Cash"/>
    <x v="4"/>
    <s v="Premium"/>
    <d v="2022-03-25T00:00:00"/>
    <n v="299.98"/>
  </r>
  <r>
    <s v="TRX0093"/>
    <x v="30"/>
    <s v="CUST050"/>
    <s v="Julie Foster"/>
    <s v="P005"/>
    <x v="1"/>
    <x v="1"/>
    <n v="4"/>
    <n v="59.99"/>
    <s v="Cash"/>
    <x v="4"/>
    <s v="Standard"/>
    <d v="2021-08-27T00:00:00"/>
    <n v="239.96"/>
  </r>
  <r>
    <s v="TRX0088"/>
    <x v="31"/>
    <s v="CUST006"/>
    <s v="Lisa Anderson"/>
    <s v="P010"/>
    <x v="8"/>
    <x v="0"/>
    <n v="5"/>
    <n v="89.99"/>
    <s v="Cash"/>
    <x v="0"/>
    <s v="Premium"/>
    <d v="2022-01-18T00:00:00"/>
    <n v="449.95"/>
  </r>
  <r>
    <s v="TRX0115"/>
    <x v="32"/>
    <s v="CUST012"/>
    <s v="Patricia Moore"/>
    <s v="P010"/>
    <x v="8"/>
    <x v="0"/>
    <n v="2"/>
    <n v="89.99"/>
    <s v="Credit Card"/>
    <x v="1"/>
    <s v="Premium"/>
    <d v="2021-10-02T00:00:00"/>
    <n v="179.98"/>
  </r>
  <r>
    <s v="TRX0154"/>
    <x v="32"/>
    <s v="CUST023"/>
    <s v="Paul Baker"/>
    <s v="P001"/>
    <x v="4"/>
    <x v="0"/>
    <n v="5"/>
    <n v="899.99"/>
    <s v="Credit Card"/>
    <x v="1"/>
    <s v="Standard"/>
    <d v="2023-02-17T00:00:00"/>
    <n v="4499.95"/>
  </r>
  <r>
    <s v="TRX0044"/>
    <x v="32"/>
    <s v="CUST029"/>
    <s v="Edward Mitchell"/>
    <s v="P001"/>
    <x v="4"/>
    <x v="0"/>
    <n v="5"/>
    <n v="899.99"/>
    <s v="PayPal"/>
    <x v="4"/>
    <s v="Premium"/>
    <d v="2023-12-18T00:00:00"/>
    <n v="4499.95"/>
  </r>
  <r>
    <s v="TRX0061"/>
    <x v="33"/>
    <s v="CUST028"/>
    <s v="Betty Campbell"/>
    <s v="P005"/>
    <x v="1"/>
    <x v="1"/>
    <n v="1"/>
    <n v="59.99"/>
    <s v="Debit Card"/>
    <x v="3"/>
    <s v="Premium"/>
    <d v="2023-09-21T00:00:00"/>
    <n v="59.99"/>
  </r>
  <r>
    <s v="TRX0150"/>
    <x v="33"/>
    <s v="CUST008"/>
    <s v="Jennifer Taylor"/>
    <s v="P007"/>
    <x v="6"/>
    <x v="2"/>
    <n v="2"/>
    <n v="299.99"/>
    <s v="Debit Card"/>
    <x v="4"/>
    <s v="Standard"/>
    <d v="2023-11-23T00:00:00"/>
    <n v="599.98"/>
  </r>
  <r>
    <s v="TRX0025"/>
    <x v="34"/>
    <s v="CUST049"/>
    <s v="Raymond Ross"/>
    <s v="P010"/>
    <x v="8"/>
    <x v="0"/>
    <n v="4"/>
    <n v="89.99"/>
    <s v="Debit Card"/>
    <x v="1"/>
    <s v="Basic"/>
    <d v="2023-12-21T00:00:00"/>
    <n v="359.96"/>
  </r>
  <r>
    <s v="TRX0078"/>
    <x v="35"/>
    <s v="CUST021"/>
    <s v="Kevin Scott"/>
    <s v="P004"/>
    <x v="7"/>
    <x v="1"/>
    <n v="1"/>
    <n v="79.989999999999995"/>
    <s v="PayPal"/>
    <x v="0"/>
    <s v="Premium"/>
    <d v="2024-03-01T00:00:00"/>
    <n v="79.989999999999995"/>
  </r>
  <r>
    <s v="TRX0007"/>
    <x v="35"/>
    <s v="CUST009"/>
    <s v="Robert Thomas"/>
    <s v="P010"/>
    <x v="8"/>
    <x v="0"/>
    <n v="2"/>
    <n v="89.99"/>
    <s v="Cash"/>
    <x v="3"/>
    <s v="Basic"/>
    <d v="2021-08-30T00:00:00"/>
    <n v="179.98"/>
  </r>
  <r>
    <s v="TRX0184"/>
    <x v="36"/>
    <s v="CUST046"/>
    <s v="Kathleen Bennett"/>
    <s v="P002"/>
    <x v="5"/>
    <x v="0"/>
    <n v="3"/>
    <n v="699.99"/>
    <s v="Credit Card"/>
    <x v="4"/>
    <s v="Premium"/>
    <d v="2023-06-25T00:00:00"/>
    <n v="2099.9699999999998"/>
  </r>
  <r>
    <s v="TRX0104"/>
    <x v="36"/>
    <s v="CUST012"/>
    <s v="Patricia Moore"/>
    <s v="P001"/>
    <x v="4"/>
    <x v="0"/>
    <n v="4"/>
    <n v="899.99"/>
    <s v="Credit Card"/>
    <x v="4"/>
    <s v="Premium"/>
    <d v="2023-03-08T00:00:00"/>
    <n v="3599.96"/>
  </r>
  <r>
    <s v="TRX0127"/>
    <x v="37"/>
    <s v="CUST030"/>
    <s v="Helen Roberts"/>
    <s v="P008"/>
    <x v="2"/>
    <x v="2"/>
    <n v="1"/>
    <n v="149.99"/>
    <s v="PayPal"/>
    <x v="4"/>
    <s v="Basic"/>
    <d v="2022-10-17T00:00:00"/>
    <n v="149.99"/>
  </r>
  <r>
    <s v="TRX0096"/>
    <x v="38"/>
    <s v="CUST002"/>
    <s v="Emma Wilson"/>
    <s v="P010"/>
    <x v="8"/>
    <x v="0"/>
    <n v="2"/>
    <n v="89.99"/>
    <s v="PayPal"/>
    <x v="0"/>
    <s v="Premium"/>
    <d v="2023-12-15T00:00:00"/>
    <n v="179.98"/>
  </r>
  <r>
    <s v="TRX0192"/>
    <x v="39"/>
    <s v="CUST017"/>
    <s v="Charles Allen"/>
    <s v="P010"/>
    <x v="8"/>
    <x v="0"/>
    <n v="1"/>
    <n v="89.99"/>
    <s v="PayPal"/>
    <x v="3"/>
    <s v="Standard"/>
    <d v="2022-08-29T00:00:00"/>
    <n v="89.99"/>
  </r>
  <r>
    <s v="TRX0052"/>
    <x v="40"/>
    <s v="CUST022"/>
    <s v="Susan Green"/>
    <s v="P010"/>
    <x v="8"/>
    <x v="0"/>
    <n v="1"/>
    <n v="89.99"/>
    <s v="Cash"/>
    <x v="1"/>
    <s v="Standard"/>
    <d v="2022-02-19T00:00:00"/>
    <n v="89.99"/>
  </r>
  <r>
    <s v="TRX0070"/>
    <x v="40"/>
    <s v="CUST007"/>
    <s v="David Martinez"/>
    <s v="P004"/>
    <x v="7"/>
    <x v="1"/>
    <n v="5"/>
    <n v="79.989999999999995"/>
    <s v="Debit Card"/>
    <x v="0"/>
    <s v="Basic"/>
    <d v="2023-02-24T00:00:00"/>
    <n v="399.95"/>
  </r>
  <r>
    <s v="TRX0086"/>
    <x v="41"/>
    <s v="CUST020"/>
    <s v="Margaret Wright"/>
    <s v="P008"/>
    <x v="2"/>
    <x v="2"/>
    <n v="1"/>
    <n v="149.99"/>
    <s v="PayPal"/>
    <x v="2"/>
    <s v="Basic"/>
    <d v="2021-08-13T00:00:00"/>
    <n v="149.99"/>
  </r>
  <r>
    <s v="TRX0113"/>
    <x v="41"/>
    <s v="CUST003"/>
    <s v="Michael Brown"/>
    <s v="P002"/>
    <x v="5"/>
    <x v="0"/>
    <n v="2"/>
    <n v="699.99"/>
    <s v="PayPal"/>
    <x v="4"/>
    <s v="Premium"/>
    <d v="2024-04-07T00:00:00"/>
    <n v="1399.98"/>
  </r>
  <r>
    <s v="TRX0114"/>
    <x v="41"/>
    <s v="CUST018"/>
    <s v="Barbara Young"/>
    <s v="P010"/>
    <x v="8"/>
    <x v="0"/>
    <n v="5"/>
    <n v="89.99"/>
    <s v="Debit Card"/>
    <x v="2"/>
    <s v="Premium"/>
    <d v="2023-08-23T00:00:00"/>
    <n v="449.95"/>
  </r>
  <r>
    <s v="TRX0136"/>
    <x v="42"/>
    <s v="CUST049"/>
    <s v="Raymond Ross"/>
    <s v="P005"/>
    <x v="1"/>
    <x v="1"/>
    <n v="4"/>
    <n v="59.99"/>
    <s v="Cash"/>
    <x v="1"/>
    <s v="Standard"/>
    <d v="2021-11-09T00:00:00"/>
    <n v="239.96"/>
  </r>
  <r>
    <s v="TRX0018"/>
    <x v="43"/>
    <s v="CUST013"/>
    <s v="Joseph Jackson"/>
    <s v="P003"/>
    <x v="3"/>
    <x v="0"/>
    <n v="1"/>
    <n v="149.99"/>
    <s v="Cash"/>
    <x v="0"/>
    <s v="Standard"/>
    <d v="2022-12-14T00:00:00"/>
    <n v="149.99"/>
  </r>
  <r>
    <s v="TRX0141"/>
    <x v="43"/>
    <s v="CUST033"/>
    <s v="Frank Torres"/>
    <s v="P007"/>
    <x v="6"/>
    <x v="2"/>
    <n v="1"/>
    <n v="299.99"/>
    <s v="Credit Card"/>
    <x v="2"/>
    <s v="Premium"/>
    <d v="2022-11-26T00:00:00"/>
    <n v="299.99"/>
  </r>
  <r>
    <s v="TRX0097"/>
    <x v="44"/>
    <s v="CUST033"/>
    <s v="Frank Torres"/>
    <s v="P006"/>
    <x v="9"/>
    <x v="2"/>
    <n v="2"/>
    <n v="199.99"/>
    <s v="Cash"/>
    <x v="2"/>
    <s v="Basic"/>
    <d v="2021-12-11T00:00:00"/>
    <n v="399.98"/>
  </r>
  <r>
    <s v="TRX0169"/>
    <x v="45"/>
    <s v="CUST047"/>
    <s v="Gerald Murphy"/>
    <s v="P005"/>
    <x v="1"/>
    <x v="1"/>
    <n v="3"/>
    <n v="59.99"/>
    <s v="Credit Card"/>
    <x v="3"/>
    <s v="Basic"/>
    <d v="2023-07-23T00:00:00"/>
    <n v="179.97"/>
  </r>
  <r>
    <s v="TRX0216"/>
    <x v="45"/>
    <s v="CUST041"/>
    <s v="Peter Richardson"/>
    <s v="P008"/>
    <x v="2"/>
    <x v="2"/>
    <n v="3"/>
    <n v="149.99"/>
    <s v="Cash"/>
    <x v="0"/>
    <s v="Premium"/>
    <d v="2023-09-30T00:00:00"/>
    <n v="449.97"/>
  </r>
  <r>
    <s v="TRX0131"/>
    <x v="46"/>
    <s v="CUST026"/>
    <s v="Karen Hill"/>
    <s v="P006"/>
    <x v="9"/>
    <x v="2"/>
    <n v="3"/>
    <n v="199.99"/>
    <s v="Cash"/>
    <x v="2"/>
    <s v="Premium"/>
    <d v="2023-11-24T00:00:00"/>
    <n v="599.97"/>
  </r>
  <r>
    <s v="TRX0162"/>
    <x v="47"/>
    <s v="CUST040"/>
    <s v="Sharon Butler"/>
    <s v="P001"/>
    <x v="4"/>
    <x v="0"/>
    <n v="1"/>
    <n v="899.99"/>
    <s v="Cash"/>
    <x v="0"/>
    <s v="Standard"/>
    <d v="2023-09-10T00:00:00"/>
    <n v="899.99"/>
  </r>
  <r>
    <s v="TRX0244"/>
    <x v="48"/>
    <s v="CUST013"/>
    <s v="Joseph Jackson"/>
    <s v="P001"/>
    <x v="4"/>
    <x v="0"/>
    <n v="5"/>
    <n v="899.99"/>
    <s v="Debit Card"/>
    <x v="1"/>
    <s v="Standard"/>
    <d v="2022-12-04T00:00:00"/>
    <n v="4499.95"/>
  </r>
  <r>
    <s v="TRX0006"/>
    <x v="49"/>
    <s v="CUST007"/>
    <s v="David Martinez"/>
    <s v="P005"/>
    <x v="1"/>
    <x v="1"/>
    <n v="2"/>
    <n v="59.99"/>
    <s v="Cash"/>
    <x v="2"/>
    <s v="Standard"/>
    <d v="2023-08-14T00:00:00"/>
    <n v="119.98"/>
  </r>
  <r>
    <s v="TRX0215"/>
    <x v="49"/>
    <s v="CUST047"/>
    <s v="Gerald Murphy"/>
    <s v="P009"/>
    <x v="0"/>
    <x v="0"/>
    <n v="4"/>
    <n v="249.99"/>
    <s v="Debit Card"/>
    <x v="0"/>
    <s v="Standard"/>
    <d v="2023-07-20T00:00:00"/>
    <n v="999.96"/>
  </r>
  <r>
    <s v="TRX0080"/>
    <x v="50"/>
    <s v="CUST018"/>
    <s v="Barbara Young"/>
    <s v="P009"/>
    <x v="0"/>
    <x v="0"/>
    <n v="2"/>
    <n v="249.99"/>
    <s v="Cash"/>
    <x v="2"/>
    <s v="Premium"/>
    <d v="2023-08-26T00:00:00"/>
    <n v="499.98"/>
  </r>
  <r>
    <s v="TRX0228"/>
    <x v="50"/>
    <s v="CUST019"/>
    <s v="Daniel King"/>
    <s v="P007"/>
    <x v="6"/>
    <x v="2"/>
    <n v="1"/>
    <n v="299.99"/>
    <s v="Cash"/>
    <x v="1"/>
    <s v="Basic"/>
    <d v="2023-02-25T00:00:00"/>
    <n v="299.99"/>
  </r>
  <r>
    <s v="TRX0157"/>
    <x v="51"/>
    <s v="CUST025"/>
    <s v="Mark Carter"/>
    <s v="P010"/>
    <x v="8"/>
    <x v="0"/>
    <n v="2"/>
    <n v="89.99"/>
    <s v="PayPal"/>
    <x v="1"/>
    <s v="Basic"/>
    <d v="2023-02-19T00:00:00"/>
    <n v="179.98"/>
  </r>
  <r>
    <s v="TRX0002"/>
    <x v="51"/>
    <s v="CUST019"/>
    <s v="Daniel King"/>
    <s v="P007"/>
    <x v="6"/>
    <x v="2"/>
    <n v="3"/>
    <n v="299.99"/>
    <s v="Cash"/>
    <x v="0"/>
    <s v="Basic"/>
    <d v="2022-06-20T00:00:00"/>
    <n v="899.97"/>
  </r>
  <r>
    <s v="TRX0217"/>
    <x v="52"/>
    <s v="CUST025"/>
    <s v="Mark Carter"/>
    <s v="P002"/>
    <x v="5"/>
    <x v="0"/>
    <n v="2"/>
    <n v="699.99"/>
    <s v="Credit Card"/>
    <x v="2"/>
    <s v="Premium"/>
    <d v="2023-03-14T00:00:00"/>
    <n v="1399.98"/>
  </r>
  <r>
    <s v="TRX0249"/>
    <x v="53"/>
    <s v="CUST030"/>
    <s v="Helen Roberts"/>
    <s v="P001"/>
    <x v="4"/>
    <x v="0"/>
    <n v="4"/>
    <n v="899.99"/>
    <s v="Debit Card"/>
    <x v="1"/>
    <s v="Standard"/>
    <d v="2021-11-23T00:00:00"/>
    <n v="3599.96"/>
  </r>
  <r>
    <s v="TRX0065"/>
    <x v="54"/>
    <s v="CUST016"/>
    <s v="Elizabeth Hall"/>
    <s v="P008"/>
    <x v="2"/>
    <x v="2"/>
    <n v="2"/>
    <n v="149.99"/>
    <s v="Credit Card"/>
    <x v="3"/>
    <s v="Basic"/>
    <d v="2021-12-12T00:00:00"/>
    <n v="299.98"/>
  </r>
  <r>
    <s v="TRX0176"/>
    <x v="55"/>
    <s v="CUST044"/>
    <s v="Cynthia Price"/>
    <s v="P008"/>
    <x v="2"/>
    <x v="2"/>
    <n v="2"/>
    <n v="149.99"/>
    <s v="Debit Card"/>
    <x v="4"/>
    <s v="Standard"/>
    <d v="2022-04-16T00:00:00"/>
    <n v="299.98"/>
  </r>
  <r>
    <s v="TRX0101"/>
    <x v="56"/>
    <s v="CUST010"/>
    <s v="Maria Garcia"/>
    <s v="P010"/>
    <x v="8"/>
    <x v="0"/>
    <n v="1"/>
    <n v="89.99"/>
    <s v="Credit Card"/>
    <x v="2"/>
    <s v="Standard"/>
    <d v="2024-04-11T00:00:00"/>
    <n v="89.99"/>
  </r>
  <r>
    <s v="TRX0205"/>
    <x v="57"/>
    <s v="CUST025"/>
    <s v="Mark Carter"/>
    <s v="P007"/>
    <x v="6"/>
    <x v="2"/>
    <n v="5"/>
    <n v="299.99"/>
    <s v="Credit Card"/>
    <x v="2"/>
    <s v="Basic"/>
    <d v="2023-02-08T00:00:00"/>
    <n v="1499.95"/>
  </r>
  <r>
    <s v="TRX0020"/>
    <x v="58"/>
    <s v="CUST007"/>
    <s v="David Martinez"/>
    <s v="P003"/>
    <x v="3"/>
    <x v="0"/>
    <n v="4"/>
    <n v="149.99"/>
    <s v="Debit Card"/>
    <x v="1"/>
    <s v="Premium"/>
    <d v="2022-09-16T00:00:00"/>
    <n v="599.96"/>
  </r>
  <r>
    <s v="TRX0075"/>
    <x v="58"/>
    <s v="CUST020"/>
    <s v="Margaret Wright"/>
    <s v="P009"/>
    <x v="0"/>
    <x v="0"/>
    <n v="5"/>
    <n v="249.99"/>
    <s v="PayPal"/>
    <x v="4"/>
    <s v="Premium"/>
    <d v="2022-08-09T00:00:00"/>
    <n v="1249.95"/>
  </r>
  <r>
    <s v="TRX0098"/>
    <x v="58"/>
    <s v="CUST026"/>
    <s v="Karen Hill"/>
    <s v="P009"/>
    <x v="0"/>
    <x v="0"/>
    <n v="3"/>
    <n v="249.99"/>
    <s v="PayPal"/>
    <x v="2"/>
    <s v="Premium"/>
    <d v="2021-09-26T00:00:00"/>
    <n v="749.97"/>
  </r>
  <r>
    <s v="TRX0247"/>
    <x v="58"/>
    <s v="CUST046"/>
    <s v="Kathleen Bennett"/>
    <s v="P006"/>
    <x v="9"/>
    <x v="2"/>
    <n v="4"/>
    <n v="199.99"/>
    <s v="Cash"/>
    <x v="2"/>
    <s v="Standard"/>
    <d v="2021-09-19T00:00:00"/>
    <n v="799.96"/>
  </r>
  <r>
    <s v="TRX0027"/>
    <x v="59"/>
    <s v="CUST028"/>
    <s v="Betty Campbell"/>
    <s v="P006"/>
    <x v="9"/>
    <x v="2"/>
    <n v="5"/>
    <n v="199.99"/>
    <s v="Cash"/>
    <x v="2"/>
    <s v="Premium"/>
    <d v="2023-03-06T00:00:00"/>
    <n v="999.95"/>
  </r>
  <r>
    <s v="TRX0140"/>
    <x v="60"/>
    <s v="CUST025"/>
    <s v="Mark Carter"/>
    <s v="P010"/>
    <x v="8"/>
    <x v="0"/>
    <n v="2"/>
    <n v="89.99"/>
    <s v="Cash"/>
    <x v="4"/>
    <s v="Premium"/>
    <d v="2023-02-15T00:00:00"/>
    <n v="179.98"/>
  </r>
  <r>
    <s v="TRX0132"/>
    <x v="61"/>
    <s v="CUST047"/>
    <s v="Gerald Murphy"/>
    <s v="P001"/>
    <x v="4"/>
    <x v="0"/>
    <n v="5"/>
    <n v="899.99"/>
    <s v="Debit Card"/>
    <x v="4"/>
    <s v="Basic"/>
    <d v="2021-11-26T00:00:00"/>
    <n v="4499.95"/>
  </r>
  <r>
    <s v="TRX0031"/>
    <x v="61"/>
    <s v="CUST036"/>
    <s v="Nancy Collins"/>
    <s v="P003"/>
    <x v="3"/>
    <x v="0"/>
    <n v="3"/>
    <n v="149.99"/>
    <s v="PayPal"/>
    <x v="4"/>
    <s v="Basic"/>
    <d v="2022-01-13T00:00:00"/>
    <n v="449.97"/>
  </r>
  <r>
    <s v="TRX0236"/>
    <x v="62"/>
    <s v="CUST044"/>
    <s v="Cynthia Price"/>
    <s v="P008"/>
    <x v="2"/>
    <x v="2"/>
    <n v="5"/>
    <n v="149.99"/>
    <s v="Credit Card"/>
    <x v="0"/>
    <s v="Basic"/>
    <d v="2024-01-19T00:00:00"/>
    <n v="749.95"/>
  </r>
  <r>
    <s v="TRX0001"/>
    <x v="63"/>
    <s v="CUST039"/>
    <s v="Lawrence Reed"/>
    <s v="P004"/>
    <x v="7"/>
    <x v="1"/>
    <n v="3"/>
    <n v="79.989999999999995"/>
    <s v="Cash"/>
    <x v="0"/>
    <s v="Premium"/>
    <d v="2022-08-06T00:00:00"/>
    <n v="239.97"/>
  </r>
  <r>
    <s v="TRX0037"/>
    <x v="63"/>
    <s v="CUST035"/>
    <s v="Harry Morgan"/>
    <s v="P009"/>
    <x v="0"/>
    <x v="0"/>
    <n v="2"/>
    <n v="249.99"/>
    <s v="Cash"/>
    <x v="1"/>
    <s v="Standard"/>
    <d v="2022-01-11T00:00:00"/>
    <n v="499.98"/>
  </r>
  <r>
    <s v="TRX0058"/>
    <x v="64"/>
    <s v="CUST047"/>
    <s v="Gerald Murphy"/>
    <s v="P002"/>
    <x v="5"/>
    <x v="0"/>
    <n v="1"/>
    <n v="699.99"/>
    <s v="Cash"/>
    <x v="0"/>
    <s v="Premium"/>
    <d v="2021-10-28T00:00:00"/>
    <n v="699.99"/>
  </r>
  <r>
    <s v="TRX0170"/>
    <x v="64"/>
    <s v="CUST034"/>
    <s v="Carol Evans"/>
    <s v="P003"/>
    <x v="3"/>
    <x v="0"/>
    <n v="3"/>
    <n v="149.99"/>
    <s v="Cash"/>
    <x v="3"/>
    <s v="Premium"/>
    <d v="2023-10-13T00:00:00"/>
    <n v="449.97"/>
  </r>
  <r>
    <s v="TRX0248"/>
    <x v="65"/>
    <s v="CUST032"/>
    <s v="Sandra Phillips"/>
    <s v="P002"/>
    <x v="5"/>
    <x v="0"/>
    <n v="2"/>
    <n v="699.99"/>
    <s v="Credit Card"/>
    <x v="2"/>
    <s v="Premium"/>
    <d v="2021-08-13T00:00:00"/>
    <n v="1399.98"/>
  </r>
  <r>
    <s v="TRX0099"/>
    <x v="66"/>
    <s v="CUST034"/>
    <s v="Carol Evans"/>
    <s v="P009"/>
    <x v="0"/>
    <x v="0"/>
    <n v="1"/>
    <n v="249.99"/>
    <s v="Credit Card"/>
    <x v="3"/>
    <s v="Premium"/>
    <d v="2022-05-04T00:00:00"/>
    <n v="249.99"/>
  </r>
  <r>
    <s v="TRX0074"/>
    <x v="66"/>
    <s v="CUST023"/>
    <s v="Paul Baker"/>
    <s v="P009"/>
    <x v="0"/>
    <x v="0"/>
    <n v="1"/>
    <n v="249.99"/>
    <s v="Debit Card"/>
    <x v="2"/>
    <s v="Premium"/>
    <d v="2024-02-10T00:00:00"/>
    <n v="249.99"/>
  </r>
  <r>
    <s v="TRX0225"/>
    <x v="67"/>
    <s v="CUST039"/>
    <s v="Lawrence Reed"/>
    <s v="P002"/>
    <x v="5"/>
    <x v="0"/>
    <n v="2"/>
    <n v="699.99"/>
    <s v="Debit Card"/>
    <x v="0"/>
    <s v="Premium"/>
    <d v="2022-11-05T00:00:00"/>
    <n v="1399.98"/>
  </r>
  <r>
    <s v="TRX0100"/>
    <x v="68"/>
    <s v="CUST031"/>
    <s v="Steven Turner"/>
    <s v="P005"/>
    <x v="1"/>
    <x v="1"/>
    <n v="3"/>
    <n v="59.99"/>
    <s v="Credit Card"/>
    <x v="0"/>
    <s v="Premium"/>
    <d v="2022-06-05T00:00:00"/>
    <n v="179.97"/>
  </r>
  <r>
    <s v="TRX0142"/>
    <x v="69"/>
    <s v="CUST002"/>
    <s v="Emma Wilson"/>
    <s v="P005"/>
    <x v="1"/>
    <x v="1"/>
    <n v="3"/>
    <n v="59.99"/>
    <s v="PayPal"/>
    <x v="4"/>
    <s v="Standard"/>
    <d v="2022-07-06T00:00:00"/>
    <n v="179.97"/>
  </r>
  <r>
    <s v="TRX0112"/>
    <x v="69"/>
    <s v="CUST008"/>
    <s v="Jennifer Taylor"/>
    <s v="P004"/>
    <x v="7"/>
    <x v="1"/>
    <n v="4"/>
    <n v="79.989999999999995"/>
    <s v="Cash"/>
    <x v="2"/>
    <s v="Basic"/>
    <d v="2021-11-30T00:00:00"/>
    <n v="319.95999999999998"/>
  </r>
  <r>
    <s v="TRX0161"/>
    <x v="70"/>
    <s v="CUST017"/>
    <s v="Charles Allen"/>
    <s v="P004"/>
    <x v="7"/>
    <x v="1"/>
    <n v="1"/>
    <n v="79.989999999999995"/>
    <s v="Cash"/>
    <x v="3"/>
    <s v="Basic"/>
    <d v="2022-05-12T00:00:00"/>
    <n v="79.989999999999995"/>
  </r>
  <r>
    <s v="TRX0108"/>
    <x v="71"/>
    <s v="CUST024"/>
    <s v="Dorothy Nelson"/>
    <s v="P007"/>
    <x v="6"/>
    <x v="2"/>
    <n v="3"/>
    <n v="299.99"/>
    <s v="Credit Card"/>
    <x v="0"/>
    <s v="Premium"/>
    <d v="2021-10-25T00:00:00"/>
    <n v="899.97"/>
  </r>
  <r>
    <s v="TRX0211"/>
    <x v="72"/>
    <s v="CUST046"/>
    <s v="Kathleen Bennett"/>
    <s v="P010"/>
    <x v="8"/>
    <x v="0"/>
    <n v="2"/>
    <n v="89.99"/>
    <s v="Credit Card"/>
    <x v="1"/>
    <s v="Premium"/>
    <d v="2022-03-21T00:00:00"/>
    <n v="179.98"/>
  </r>
  <r>
    <s v="TRX0005"/>
    <x v="73"/>
    <s v="CUST042"/>
    <s v="Ruth Brooks"/>
    <s v="P003"/>
    <x v="3"/>
    <x v="0"/>
    <n v="4"/>
    <n v="149.99"/>
    <s v="Cash"/>
    <x v="2"/>
    <s v="Basic"/>
    <d v="2022-12-14T00:00:00"/>
    <n v="599.96"/>
  </r>
  <r>
    <s v="TRX0195"/>
    <x v="74"/>
    <s v="CUST026"/>
    <s v="Karen Hill"/>
    <s v="P009"/>
    <x v="0"/>
    <x v="0"/>
    <n v="2"/>
    <n v="249.99"/>
    <s v="PayPal"/>
    <x v="1"/>
    <s v="Basic"/>
    <d v="2023-03-08T00:00:00"/>
    <n v="499.98"/>
  </r>
  <r>
    <s v="TRX0054"/>
    <x v="74"/>
    <s v="CUST004"/>
    <s v="Sarah Davis"/>
    <s v="P006"/>
    <x v="9"/>
    <x v="2"/>
    <n v="4"/>
    <n v="199.99"/>
    <s v="Debit Card"/>
    <x v="4"/>
    <s v="Basic"/>
    <d v="2021-09-19T00:00:00"/>
    <n v="799.96"/>
  </r>
  <r>
    <s v="TRX0077"/>
    <x v="75"/>
    <s v="CUST019"/>
    <s v="Daniel King"/>
    <s v="P010"/>
    <x v="8"/>
    <x v="0"/>
    <n v="5"/>
    <n v="89.99"/>
    <s v="Credit Card"/>
    <x v="4"/>
    <s v="Premium"/>
    <d v="2021-09-07T00:00:00"/>
    <n v="449.95"/>
  </r>
  <r>
    <s v="TRX0111"/>
    <x v="75"/>
    <s v="CUST011"/>
    <s v="William White"/>
    <s v="P003"/>
    <x v="3"/>
    <x v="0"/>
    <n v="1"/>
    <n v="149.99"/>
    <s v="PayPal"/>
    <x v="4"/>
    <s v="Standard"/>
    <d v="2021-10-13T00:00:00"/>
    <n v="149.99"/>
  </r>
  <r>
    <s v="TRX0123"/>
    <x v="75"/>
    <s v="CUST041"/>
    <s v="Peter Richardson"/>
    <s v="P002"/>
    <x v="5"/>
    <x v="0"/>
    <n v="4"/>
    <n v="699.99"/>
    <s v="PayPal"/>
    <x v="1"/>
    <s v="Basic"/>
    <d v="2022-02-26T00:00:00"/>
    <n v="2799.96"/>
  </r>
  <r>
    <s v="TRX0177"/>
    <x v="76"/>
    <s v="CUST032"/>
    <s v="Sandra Phillips"/>
    <s v="P001"/>
    <x v="4"/>
    <x v="0"/>
    <n v="3"/>
    <n v="899.99"/>
    <s v="Credit Card"/>
    <x v="2"/>
    <s v="Standard"/>
    <d v="2023-08-19T00:00:00"/>
    <n v="2699.97"/>
  </r>
  <r>
    <s v="TRX0119"/>
    <x v="77"/>
    <s v="CUST014"/>
    <s v="Linda Martin"/>
    <s v="P008"/>
    <x v="2"/>
    <x v="2"/>
    <n v="3"/>
    <n v="149.99"/>
    <s v="PayPal"/>
    <x v="4"/>
    <s v="Basic"/>
    <d v="2022-11-21T00:00:00"/>
    <n v="449.97"/>
  </r>
  <r>
    <s v="TRX0181"/>
    <x v="78"/>
    <s v="CUST012"/>
    <s v="Patricia Moore"/>
    <s v="P007"/>
    <x v="6"/>
    <x v="2"/>
    <n v="2"/>
    <n v="299.99"/>
    <s v="Debit Card"/>
    <x v="0"/>
    <s v="Basic"/>
    <d v="2022-01-08T00:00:00"/>
    <n v="599.98"/>
  </r>
  <r>
    <s v="TRX0129"/>
    <x v="79"/>
    <s v="CUST015"/>
    <s v="Richard Lee"/>
    <s v="P006"/>
    <x v="9"/>
    <x v="2"/>
    <n v="1"/>
    <n v="199.99"/>
    <s v="Debit Card"/>
    <x v="4"/>
    <s v="Standard"/>
    <d v="2023-01-27T00:00:00"/>
    <n v="199.99"/>
  </r>
  <r>
    <s v="TRX0174"/>
    <x v="80"/>
    <s v="CUST003"/>
    <s v="Michael Brown"/>
    <s v="P007"/>
    <x v="6"/>
    <x v="2"/>
    <n v="4"/>
    <n v="299.99"/>
    <s v="Cash"/>
    <x v="0"/>
    <s v="Premium"/>
    <d v="2021-09-21T00:00:00"/>
    <n v="1199.96"/>
  </r>
  <r>
    <s v="TRX0146"/>
    <x v="81"/>
    <s v="CUST010"/>
    <s v="Maria Garcia"/>
    <s v="P005"/>
    <x v="1"/>
    <x v="1"/>
    <n v="2"/>
    <n v="59.99"/>
    <s v="Credit Card"/>
    <x v="0"/>
    <s v="Basic"/>
    <d v="2022-01-18T00:00:00"/>
    <n v="119.98"/>
  </r>
  <r>
    <s v="TRX0203"/>
    <x v="81"/>
    <s v="CUST032"/>
    <s v="Sandra Phillips"/>
    <s v="P003"/>
    <x v="3"/>
    <x v="0"/>
    <n v="4"/>
    <n v="149.99"/>
    <s v="Credit Card"/>
    <x v="2"/>
    <s v="Premium"/>
    <d v="2023-05-30T00:00:00"/>
    <n v="599.96"/>
  </r>
  <r>
    <s v="TRX0055"/>
    <x v="82"/>
    <s v="CUST016"/>
    <s v="Elizabeth Hall"/>
    <s v="P002"/>
    <x v="5"/>
    <x v="0"/>
    <n v="2"/>
    <n v="699.99"/>
    <s v="Debit Card"/>
    <x v="4"/>
    <s v="Premium"/>
    <d v="2023-12-14T00:00:00"/>
    <n v="1399.98"/>
  </r>
  <r>
    <s v="TRX0218"/>
    <x v="82"/>
    <s v="CUST034"/>
    <s v="Carol Evans"/>
    <s v="P008"/>
    <x v="2"/>
    <x v="2"/>
    <n v="3"/>
    <n v="149.99"/>
    <s v="Credit Card"/>
    <x v="1"/>
    <s v="Standard"/>
    <d v="2023-01-14T00:00:00"/>
    <n v="449.97"/>
  </r>
  <r>
    <s v="TRX0085"/>
    <x v="83"/>
    <s v="CUST019"/>
    <s v="Daniel King"/>
    <s v="P007"/>
    <x v="6"/>
    <x v="2"/>
    <n v="3"/>
    <n v="299.99"/>
    <s v="Credit Card"/>
    <x v="0"/>
    <s v="Standard"/>
    <d v="2023-09-05T00:00:00"/>
    <n v="899.97"/>
  </r>
  <r>
    <s v="TRX0158"/>
    <x v="84"/>
    <s v="CUST027"/>
    <s v="George Adams"/>
    <s v="P001"/>
    <x v="4"/>
    <x v="0"/>
    <n v="3"/>
    <n v="899.99"/>
    <s v="PayPal"/>
    <x v="3"/>
    <s v="Basic"/>
    <d v="2023-10-16T00:00:00"/>
    <n v="2699.97"/>
  </r>
  <r>
    <s v="TRX0173"/>
    <x v="85"/>
    <s v="CUST018"/>
    <s v="Barbara Young"/>
    <s v="P002"/>
    <x v="5"/>
    <x v="0"/>
    <n v="5"/>
    <n v="699.99"/>
    <s v="Cash"/>
    <x v="4"/>
    <s v="Standard"/>
    <d v="2023-03-23T00:00:00"/>
    <n v="3499.95"/>
  </r>
  <r>
    <s v="TRX0034"/>
    <x v="85"/>
    <s v="CUST049"/>
    <s v="Raymond Ross"/>
    <s v="P002"/>
    <x v="5"/>
    <x v="0"/>
    <n v="4"/>
    <n v="699.99"/>
    <s v="Credit Card"/>
    <x v="0"/>
    <s v="Basic"/>
    <d v="2024-04-03T00:00:00"/>
    <n v="2799.96"/>
  </r>
  <r>
    <s v="TRX0189"/>
    <x v="85"/>
    <s v="CUST040"/>
    <s v="Sharon Butler"/>
    <s v="P001"/>
    <x v="4"/>
    <x v="0"/>
    <n v="1"/>
    <n v="899.99"/>
    <s v="Credit Card"/>
    <x v="4"/>
    <s v="Standard"/>
    <d v="2024-03-18T00:00:00"/>
    <n v="899.99"/>
  </r>
  <r>
    <s v="TRX0190"/>
    <x v="86"/>
    <s v="CUST039"/>
    <s v="Lawrence Reed"/>
    <s v="P003"/>
    <x v="3"/>
    <x v="0"/>
    <n v="2"/>
    <n v="149.99"/>
    <s v="Credit Card"/>
    <x v="3"/>
    <s v="Basic"/>
    <d v="2022-12-21T00:00:00"/>
    <n v="299.98"/>
  </r>
  <r>
    <s v="TRX0079"/>
    <x v="87"/>
    <s v="CUST039"/>
    <s v="Lawrence Reed"/>
    <s v="P010"/>
    <x v="8"/>
    <x v="0"/>
    <n v="3"/>
    <n v="89.99"/>
    <s v="PayPal"/>
    <x v="0"/>
    <s v="Basic"/>
    <d v="2021-12-21T00:00:00"/>
    <n v="269.97000000000003"/>
  </r>
  <r>
    <s v="TRX0095"/>
    <x v="88"/>
    <s v="CUST046"/>
    <s v="Kathleen Bennett"/>
    <s v="P003"/>
    <x v="3"/>
    <x v="0"/>
    <n v="2"/>
    <n v="149.99"/>
    <s v="PayPal"/>
    <x v="0"/>
    <s v="Basic"/>
    <d v="2021-10-04T00:00:00"/>
    <n v="299.98"/>
  </r>
  <r>
    <s v="TRX0009"/>
    <x v="88"/>
    <s v="CUST004"/>
    <s v="Sarah Davis"/>
    <s v="P002"/>
    <x v="5"/>
    <x v="0"/>
    <n v="2"/>
    <n v="699.99"/>
    <s v="Cash"/>
    <x v="0"/>
    <s v="Basic"/>
    <d v="2023-03-07T00:00:00"/>
    <n v="1399.98"/>
  </r>
  <r>
    <s v="TRX0167"/>
    <x v="89"/>
    <s v="CUST028"/>
    <s v="Betty Campbell"/>
    <s v="P002"/>
    <x v="5"/>
    <x v="0"/>
    <n v="5"/>
    <n v="699.99"/>
    <s v="Cash"/>
    <x v="2"/>
    <s v="Premium"/>
    <d v="2022-03-15T00:00:00"/>
    <n v="3499.95"/>
  </r>
  <r>
    <s v="TRX0153"/>
    <x v="90"/>
    <s v="CUST049"/>
    <s v="Raymond Ross"/>
    <s v="P010"/>
    <x v="8"/>
    <x v="0"/>
    <n v="3"/>
    <n v="89.99"/>
    <s v="Credit Card"/>
    <x v="2"/>
    <s v="Standard"/>
    <d v="2022-02-23T00:00:00"/>
    <n v="269.97000000000003"/>
  </r>
  <r>
    <s v="TRX0057"/>
    <x v="91"/>
    <s v="CUST023"/>
    <s v="Paul Baker"/>
    <s v="P009"/>
    <x v="0"/>
    <x v="0"/>
    <n v="5"/>
    <n v="249.99"/>
    <s v="Credit Card"/>
    <x v="1"/>
    <s v="Standard"/>
    <d v="2022-11-16T00:00:00"/>
    <n v="1249.95"/>
  </r>
  <r>
    <s v="TRX0017"/>
    <x v="92"/>
    <s v="CUST026"/>
    <s v="Karen Hill"/>
    <s v="P007"/>
    <x v="6"/>
    <x v="2"/>
    <n v="3"/>
    <n v="299.99"/>
    <s v="Credit Card"/>
    <x v="1"/>
    <s v="Standard"/>
    <d v="2021-11-02T00:00:00"/>
    <n v="899.97"/>
  </r>
  <r>
    <s v="TRX0060"/>
    <x v="93"/>
    <s v="CUST012"/>
    <s v="Patricia Moore"/>
    <s v="P010"/>
    <x v="8"/>
    <x v="0"/>
    <n v="3"/>
    <n v="89.99"/>
    <s v="Credit Card"/>
    <x v="2"/>
    <s v="Premium"/>
    <d v="2021-08-12T00:00:00"/>
    <n v="269.97000000000003"/>
  </r>
  <r>
    <s v="TRX0109"/>
    <x v="94"/>
    <s v="CUST010"/>
    <s v="Maria Garcia"/>
    <s v="P008"/>
    <x v="2"/>
    <x v="2"/>
    <n v="2"/>
    <n v="149.99"/>
    <s v="Credit Card"/>
    <x v="3"/>
    <s v="Premium"/>
    <d v="2022-10-14T00:00:00"/>
    <n v="299.98"/>
  </r>
  <r>
    <s v="TRX0090"/>
    <x v="95"/>
    <s v="CUST020"/>
    <s v="Margaret Wright"/>
    <s v="P009"/>
    <x v="0"/>
    <x v="0"/>
    <n v="1"/>
    <n v="249.99"/>
    <s v="Credit Card"/>
    <x v="2"/>
    <s v="Premium"/>
    <d v="2022-09-24T00:00:00"/>
    <n v="249.99"/>
  </r>
  <r>
    <s v="TRX0035"/>
    <x v="96"/>
    <s v="CUST041"/>
    <s v="Peter Richardson"/>
    <s v="P003"/>
    <x v="3"/>
    <x v="0"/>
    <n v="3"/>
    <n v="149.99"/>
    <s v="Cash"/>
    <x v="2"/>
    <s v="Basic"/>
    <d v="2022-07-27T00:00:00"/>
    <n v="449.97"/>
  </r>
  <r>
    <s v="TRX0172"/>
    <x v="96"/>
    <s v="CUST023"/>
    <s v="Paul Baker"/>
    <s v="P005"/>
    <x v="1"/>
    <x v="1"/>
    <n v="5"/>
    <n v="59.99"/>
    <s v="PayPal"/>
    <x v="3"/>
    <s v="Premium"/>
    <d v="2022-05-13T00:00:00"/>
    <n v="299.95"/>
  </r>
  <r>
    <s v="TRX0076"/>
    <x v="96"/>
    <s v="CUST012"/>
    <s v="Patricia Moore"/>
    <s v="P009"/>
    <x v="0"/>
    <x v="0"/>
    <n v="4"/>
    <n v="249.99"/>
    <s v="Credit Card"/>
    <x v="3"/>
    <s v="Standard"/>
    <d v="2022-04-08T00:00:00"/>
    <n v="999.96"/>
  </r>
  <r>
    <s v="TRX0210"/>
    <x v="97"/>
    <s v="CUST004"/>
    <s v="Sarah Davis"/>
    <s v="P008"/>
    <x v="2"/>
    <x v="2"/>
    <n v="5"/>
    <n v="149.99"/>
    <s v="PayPal"/>
    <x v="0"/>
    <s v="Basic"/>
    <d v="2022-12-06T00:00:00"/>
    <n v="749.95"/>
  </r>
  <r>
    <s v="TRX0149"/>
    <x v="97"/>
    <s v="CUST027"/>
    <s v="George Adams"/>
    <s v="P005"/>
    <x v="1"/>
    <x v="1"/>
    <n v="3"/>
    <n v="59.99"/>
    <s v="Debit Card"/>
    <x v="1"/>
    <s v="Standard"/>
    <d v="2023-11-30T00:00:00"/>
    <n v="179.97"/>
  </r>
  <r>
    <s v="TRX0073"/>
    <x v="98"/>
    <s v="CUST032"/>
    <s v="Sandra Phillips"/>
    <s v="P008"/>
    <x v="2"/>
    <x v="2"/>
    <n v="5"/>
    <n v="149.99"/>
    <s v="Cash"/>
    <x v="2"/>
    <s v="Basic"/>
    <d v="2022-11-04T00:00:00"/>
    <n v="749.95"/>
  </r>
  <r>
    <s v="TRX0033"/>
    <x v="98"/>
    <s v="CUST025"/>
    <s v="Mark Carter"/>
    <s v="P002"/>
    <x v="5"/>
    <x v="0"/>
    <n v="2"/>
    <n v="699.99"/>
    <s v="PayPal"/>
    <x v="3"/>
    <s v="Standard"/>
    <d v="2022-07-28T00:00:00"/>
    <n v="1399.98"/>
  </r>
  <r>
    <s v="TRX0160"/>
    <x v="99"/>
    <s v="CUST029"/>
    <s v="Edward Mitchell"/>
    <s v="P006"/>
    <x v="9"/>
    <x v="2"/>
    <n v="4"/>
    <n v="199.99"/>
    <s v="Debit Card"/>
    <x v="0"/>
    <s v="Premium"/>
    <d v="2021-08-19T00:00:00"/>
    <n v="799.96"/>
  </r>
  <r>
    <s v="TRX0145"/>
    <x v="100"/>
    <s v="CUST033"/>
    <s v="Frank Torres"/>
    <s v="P005"/>
    <x v="1"/>
    <x v="1"/>
    <n v="1"/>
    <n v="59.99"/>
    <s v="Debit Card"/>
    <x v="3"/>
    <s v="Standard"/>
    <d v="2021-12-30T00:00:00"/>
    <n v="59.99"/>
  </r>
  <r>
    <s v="TRX0148"/>
    <x v="100"/>
    <s v="CUST004"/>
    <s v="Sarah Davis"/>
    <s v="P002"/>
    <x v="5"/>
    <x v="0"/>
    <n v="3"/>
    <n v="699.99"/>
    <s v="PayPal"/>
    <x v="3"/>
    <s v="Standard"/>
    <d v="2022-01-22T00:00:00"/>
    <n v="2099.9699999999998"/>
  </r>
  <r>
    <s v="TRX0012"/>
    <x v="101"/>
    <s v="CUST045"/>
    <s v="Douglas Watson"/>
    <s v="P009"/>
    <x v="0"/>
    <x v="0"/>
    <n v="5"/>
    <n v="249.99"/>
    <s v="Credit Card"/>
    <x v="2"/>
    <s v="Basic"/>
    <d v="2022-11-08T00:00:00"/>
    <n v="1249.95"/>
  </r>
  <r>
    <s v="TRX0206"/>
    <x v="102"/>
    <s v="CUST014"/>
    <s v="Linda Martin"/>
    <s v="P008"/>
    <x v="2"/>
    <x v="2"/>
    <n v="2"/>
    <n v="149.99"/>
    <s v="Cash"/>
    <x v="1"/>
    <s v="Standard"/>
    <d v="2023-06-24T00:00:00"/>
    <n v="299.98"/>
  </r>
  <r>
    <s v="TRX0045"/>
    <x v="103"/>
    <s v="CUST021"/>
    <s v="Kevin Scott"/>
    <s v="P007"/>
    <x v="6"/>
    <x v="2"/>
    <n v="3"/>
    <n v="299.99"/>
    <s v="Cash"/>
    <x v="1"/>
    <s v="Premium"/>
    <d v="2022-04-08T00:00:00"/>
    <n v="899.97"/>
  </r>
  <r>
    <s v="TRX0094"/>
    <x v="103"/>
    <s v="CUST017"/>
    <s v="Charles Allen"/>
    <s v="P009"/>
    <x v="0"/>
    <x v="0"/>
    <n v="5"/>
    <n v="249.99"/>
    <s v="Cash"/>
    <x v="0"/>
    <s v="Premium"/>
    <d v="2021-10-16T00:00:00"/>
    <n v="1249.95"/>
  </r>
  <r>
    <s v="TRX0133"/>
    <x v="103"/>
    <s v="CUST013"/>
    <s v="Joseph Jackson"/>
    <s v="P003"/>
    <x v="3"/>
    <x v="0"/>
    <n v="2"/>
    <n v="149.99"/>
    <s v="Cash"/>
    <x v="1"/>
    <s v="Premium"/>
    <d v="2021-10-06T00:00:00"/>
    <n v="299.98"/>
  </r>
  <r>
    <s v="TRX0201"/>
    <x v="103"/>
    <s v="CUST025"/>
    <s v="Mark Carter"/>
    <s v="P002"/>
    <x v="5"/>
    <x v="0"/>
    <n v="5"/>
    <n v="699.99"/>
    <s v="Debit Card"/>
    <x v="3"/>
    <s v="Standard"/>
    <d v="2023-01-18T00:00:00"/>
    <n v="3499.95"/>
  </r>
  <r>
    <s v="TRX0137"/>
    <x v="104"/>
    <s v="CUST011"/>
    <s v="William White"/>
    <s v="P009"/>
    <x v="0"/>
    <x v="0"/>
    <n v="4"/>
    <n v="249.99"/>
    <s v="PayPal"/>
    <x v="4"/>
    <s v="Premium"/>
    <d v="2023-06-21T00:00:00"/>
    <n v="999.96"/>
  </r>
  <r>
    <s v="TRX0066"/>
    <x v="105"/>
    <s v="CUST024"/>
    <s v="Dorothy Nelson"/>
    <s v="P002"/>
    <x v="5"/>
    <x v="0"/>
    <n v="4"/>
    <n v="699.99"/>
    <s v="Credit Card"/>
    <x v="2"/>
    <s v="Premium"/>
    <d v="2022-05-22T00:00:00"/>
    <n v="2799.96"/>
  </r>
  <r>
    <s v="TRX0180"/>
    <x v="106"/>
    <s v="CUST036"/>
    <s v="Nancy Collins"/>
    <s v="P009"/>
    <x v="0"/>
    <x v="0"/>
    <n v="2"/>
    <n v="249.99"/>
    <s v="Credit Card"/>
    <x v="0"/>
    <s v="Premium"/>
    <d v="2021-07-19T00:00:00"/>
    <n v="499.98"/>
  </r>
  <r>
    <s v="TRX0082"/>
    <x v="106"/>
    <s v="CUST005"/>
    <s v="James Johnson"/>
    <s v="P005"/>
    <x v="1"/>
    <x v="1"/>
    <n v="3"/>
    <n v="59.99"/>
    <s v="Cash"/>
    <x v="0"/>
    <s v="Premium"/>
    <d v="2023-05-06T00:00:00"/>
    <n v="179.97"/>
  </r>
  <r>
    <s v="TRX0036"/>
    <x v="106"/>
    <s v="CUST008"/>
    <s v="Jennifer Taylor"/>
    <s v="P004"/>
    <x v="7"/>
    <x v="1"/>
    <n v="4"/>
    <n v="79.989999999999995"/>
    <s v="Debit Card"/>
    <x v="4"/>
    <s v="Standard"/>
    <d v="2022-12-26T00:00:00"/>
    <n v="319.95999999999998"/>
  </r>
  <r>
    <s v="TRX0198"/>
    <x v="107"/>
    <s v="CUST030"/>
    <s v="Helen Roberts"/>
    <s v="P004"/>
    <x v="7"/>
    <x v="1"/>
    <n v="3"/>
    <n v="79.989999999999995"/>
    <s v="Debit Card"/>
    <x v="4"/>
    <s v="Standard"/>
    <d v="2022-08-06T00:00:00"/>
    <n v="239.97"/>
  </r>
  <r>
    <s v="TRX0032"/>
    <x v="108"/>
    <s v="CUST041"/>
    <s v="Peter Richardson"/>
    <s v="P001"/>
    <x v="4"/>
    <x v="0"/>
    <n v="2"/>
    <n v="899.99"/>
    <s v="Cash"/>
    <x v="2"/>
    <s v="Basic"/>
    <d v="2021-07-29T00:00:00"/>
    <n v="1799.98"/>
  </r>
  <r>
    <s v="TRX0081"/>
    <x v="109"/>
    <s v="CUST007"/>
    <s v="David Martinez"/>
    <s v="P008"/>
    <x v="2"/>
    <x v="2"/>
    <n v="1"/>
    <n v="149.99"/>
    <s v="Debit Card"/>
    <x v="4"/>
    <s v="Standard"/>
    <d v="2023-10-01T00:00:00"/>
    <n v="149.99"/>
  </r>
  <r>
    <s v="TRX0224"/>
    <x v="109"/>
    <s v="CUST031"/>
    <s v="Steven Turner"/>
    <s v="P007"/>
    <x v="6"/>
    <x v="2"/>
    <n v="2"/>
    <n v="299.99"/>
    <s v="Cash"/>
    <x v="4"/>
    <s v="Premium"/>
    <d v="2022-06-12T00:00:00"/>
    <n v="599.98"/>
  </r>
  <r>
    <s v="TRX0028"/>
    <x v="110"/>
    <s v="CUST002"/>
    <s v="Emma Wilson"/>
    <s v="P005"/>
    <x v="1"/>
    <x v="1"/>
    <n v="2"/>
    <n v="59.99"/>
    <s v="Cash"/>
    <x v="3"/>
    <s v="Basic"/>
    <d v="2023-09-22T00:00:00"/>
    <n v="119.98"/>
  </r>
  <r>
    <s v="TRX0183"/>
    <x v="111"/>
    <s v="CUST007"/>
    <s v="David Martinez"/>
    <s v="P010"/>
    <x v="8"/>
    <x v="0"/>
    <n v="1"/>
    <n v="89.99"/>
    <s v="Debit Card"/>
    <x v="0"/>
    <s v="Standard"/>
    <d v="2022-07-18T00:00:00"/>
    <n v="89.99"/>
  </r>
  <r>
    <s v="TRX0163"/>
    <x v="111"/>
    <s v="CUST019"/>
    <s v="Daniel King"/>
    <s v="P001"/>
    <x v="4"/>
    <x v="0"/>
    <n v="5"/>
    <n v="899.99"/>
    <s v="Debit Card"/>
    <x v="4"/>
    <s v="Standard"/>
    <d v="2022-03-05T00:00:00"/>
    <n v="4499.95"/>
  </r>
  <r>
    <s v="TRX0046"/>
    <x v="112"/>
    <s v="CUST003"/>
    <s v="Michael Brown"/>
    <s v="P008"/>
    <x v="2"/>
    <x v="2"/>
    <n v="2"/>
    <n v="149.99"/>
    <s v="Cash"/>
    <x v="1"/>
    <s v="Basic"/>
    <d v="2023-11-09T00:00:00"/>
    <n v="299.98"/>
  </r>
  <r>
    <s v="TRX0164"/>
    <x v="113"/>
    <s v="CUST014"/>
    <s v="Linda Martin"/>
    <s v="P003"/>
    <x v="3"/>
    <x v="0"/>
    <n v="2"/>
    <n v="149.99"/>
    <s v="Debit Card"/>
    <x v="3"/>
    <s v="Premium"/>
    <d v="2023-12-20T00:00:00"/>
    <n v="299.98"/>
  </r>
  <r>
    <s v="TRX0008"/>
    <x v="113"/>
    <s v="CUST007"/>
    <s v="David Martinez"/>
    <s v="P008"/>
    <x v="2"/>
    <x v="2"/>
    <n v="3"/>
    <n v="149.99"/>
    <s v="Debit Card"/>
    <x v="2"/>
    <s v="Standard"/>
    <d v="2021-11-22T00:00:00"/>
    <n v="449.97"/>
  </r>
  <r>
    <s v="TRX0171"/>
    <x v="114"/>
    <s v="CUST021"/>
    <s v="Kevin Scott"/>
    <s v="P007"/>
    <x v="6"/>
    <x v="2"/>
    <n v="2"/>
    <n v="299.99"/>
    <s v="PayPal"/>
    <x v="1"/>
    <s v="Basic"/>
    <d v="2022-06-09T00:00:00"/>
    <n v="599.98"/>
  </r>
  <r>
    <s v="TRX0143"/>
    <x v="115"/>
    <s v="CUST003"/>
    <s v="Michael Brown"/>
    <s v="P007"/>
    <x v="6"/>
    <x v="2"/>
    <n v="2"/>
    <n v="299.99"/>
    <s v="Cash"/>
    <x v="3"/>
    <s v="Basic"/>
    <d v="2022-07-29T00:00:00"/>
    <n v="599.98"/>
  </r>
  <r>
    <s v="TRX0165"/>
    <x v="115"/>
    <s v="CUST030"/>
    <s v="Helen Roberts"/>
    <s v="P006"/>
    <x v="9"/>
    <x v="2"/>
    <n v="4"/>
    <n v="199.99"/>
    <s v="Credit Card"/>
    <x v="0"/>
    <s v="Basic"/>
    <d v="2021-11-23T00:00:00"/>
    <n v="799.96"/>
  </r>
  <r>
    <s v="TRX0156"/>
    <x v="116"/>
    <s v="CUST009"/>
    <s v="Robert Thomas"/>
    <s v="P010"/>
    <x v="8"/>
    <x v="0"/>
    <n v="1"/>
    <n v="89.99"/>
    <s v="Credit Card"/>
    <x v="1"/>
    <s v="Premium"/>
    <d v="2022-01-30T00:00:00"/>
    <n v="89.99"/>
  </r>
  <r>
    <s v="TRX0147"/>
    <x v="116"/>
    <s v="CUST036"/>
    <s v="Nancy Collins"/>
    <s v="P008"/>
    <x v="2"/>
    <x v="2"/>
    <n v="5"/>
    <n v="149.99"/>
    <s v="Cash"/>
    <x v="0"/>
    <s v="Premium"/>
    <d v="2024-02-25T00:00:00"/>
    <n v="749.95"/>
  </r>
  <r>
    <s v="TRX0207"/>
    <x v="117"/>
    <s v="CUST025"/>
    <s v="Mark Carter"/>
    <s v="P001"/>
    <x v="4"/>
    <x v="0"/>
    <n v="1"/>
    <n v="899.99"/>
    <s v="PayPal"/>
    <x v="2"/>
    <s v="Premium"/>
    <d v="2023-05-04T00:00:00"/>
    <n v="899.99"/>
  </r>
  <r>
    <s v="TRX0056"/>
    <x v="118"/>
    <s v="CUST019"/>
    <s v="Daniel King"/>
    <s v="P010"/>
    <x v="8"/>
    <x v="0"/>
    <n v="2"/>
    <n v="89.99"/>
    <s v="Credit Card"/>
    <x v="1"/>
    <s v="Premium"/>
    <d v="2022-01-03T00:00:00"/>
    <n v="179.98"/>
  </r>
  <r>
    <s v="TRX0026"/>
    <x v="119"/>
    <s v="CUST037"/>
    <s v="Arthur Edwards"/>
    <s v="P001"/>
    <x v="4"/>
    <x v="0"/>
    <n v="1"/>
    <n v="899.99"/>
    <s v="PayPal"/>
    <x v="2"/>
    <s v="Standard"/>
    <d v="2022-07-10T00:00:00"/>
    <n v="899.99"/>
  </r>
  <r>
    <s v="TRX0237"/>
    <x v="120"/>
    <s v="CUST006"/>
    <s v="Lisa Anderson"/>
    <s v="P003"/>
    <x v="3"/>
    <x v="0"/>
    <n v="5"/>
    <n v="149.99"/>
    <s v="PayPal"/>
    <x v="4"/>
    <s v="Premium"/>
    <d v="2022-09-20T00:00:00"/>
    <n v="749.95"/>
  </r>
  <r>
    <s v="TRX0091"/>
    <x v="120"/>
    <s v="CUST003"/>
    <s v="Michael Brown"/>
    <s v="P007"/>
    <x v="6"/>
    <x v="2"/>
    <n v="3"/>
    <n v="299.99"/>
    <s v="Cash"/>
    <x v="1"/>
    <s v="Standard"/>
    <d v="2021-08-14T00:00:00"/>
    <n v="899.97"/>
  </r>
  <r>
    <s v="TRX0125"/>
    <x v="121"/>
    <s v="CUST026"/>
    <s v="Karen Hill"/>
    <s v="P002"/>
    <x v="5"/>
    <x v="0"/>
    <n v="3"/>
    <n v="699.99"/>
    <s v="Credit Card"/>
    <x v="0"/>
    <s v="Premium"/>
    <d v="2023-06-28T00:00:00"/>
    <n v="2099.9699999999998"/>
  </r>
  <r>
    <s v="TRX0223"/>
    <x v="122"/>
    <s v="CUST036"/>
    <s v="Nancy Collins"/>
    <s v="P006"/>
    <x v="9"/>
    <x v="2"/>
    <n v="5"/>
    <n v="199.99"/>
    <s v="PayPal"/>
    <x v="0"/>
    <s v="Standard"/>
    <d v="2022-03-13T00:00:00"/>
    <n v="999.95"/>
  </r>
  <r>
    <s v="TRX0243"/>
    <x v="122"/>
    <s v="CUST048"/>
    <s v="Virginia Sanders"/>
    <s v="P009"/>
    <x v="0"/>
    <x v="0"/>
    <n v="5"/>
    <n v="249.99"/>
    <s v="Credit Card"/>
    <x v="1"/>
    <s v="Basic"/>
    <d v="2024-02-08T00:00:00"/>
    <n v="1249.95"/>
  </r>
  <r>
    <s v="TRX0084"/>
    <x v="123"/>
    <s v="CUST031"/>
    <s v="Steven Turner"/>
    <s v="P003"/>
    <x v="3"/>
    <x v="0"/>
    <n v="4"/>
    <n v="149.99"/>
    <s v="Debit Card"/>
    <x v="4"/>
    <s v="Standard"/>
    <d v="2021-12-06T00:00:00"/>
    <n v="599.96"/>
  </r>
  <r>
    <s v="TRX0238"/>
    <x v="123"/>
    <s v="CUST038"/>
    <s v="Michelle Rogers"/>
    <s v="P002"/>
    <x v="5"/>
    <x v="0"/>
    <n v="3"/>
    <n v="699.99"/>
    <s v="Cash"/>
    <x v="2"/>
    <s v="Premium"/>
    <d v="2022-02-10T00:00:00"/>
    <n v="2099.9699999999998"/>
  </r>
  <r>
    <s v="TRX0102"/>
    <x v="124"/>
    <s v="CUST045"/>
    <s v="Douglas Watson"/>
    <s v="P004"/>
    <x v="7"/>
    <x v="1"/>
    <n v="1"/>
    <n v="79.989999999999995"/>
    <s v="Credit Card"/>
    <x v="1"/>
    <s v="Basic"/>
    <d v="2024-01-31T00:00:00"/>
    <n v="79.989999999999995"/>
  </r>
  <r>
    <s v="TRX0022"/>
    <x v="124"/>
    <s v="CUST025"/>
    <s v="Mark Carter"/>
    <s v="P007"/>
    <x v="6"/>
    <x v="2"/>
    <n v="1"/>
    <n v="299.99"/>
    <s v="Credit Card"/>
    <x v="2"/>
    <s v="Basic"/>
    <d v="2021-08-28T00:00:00"/>
    <n v="299.99"/>
  </r>
  <r>
    <s v="TRX0087"/>
    <x v="125"/>
    <s v="CUST028"/>
    <s v="Betty Campbell"/>
    <s v="P009"/>
    <x v="0"/>
    <x v="0"/>
    <n v="4"/>
    <n v="249.99"/>
    <s v="Credit Card"/>
    <x v="2"/>
    <s v="Premium"/>
    <d v="2021-09-21T00:00:00"/>
    <n v="999.96"/>
  </r>
  <r>
    <s v="TRX0107"/>
    <x v="125"/>
    <s v="CUST030"/>
    <s v="Helen Roberts"/>
    <s v="P003"/>
    <x v="3"/>
    <x v="0"/>
    <n v="2"/>
    <n v="149.99"/>
    <s v="Cash"/>
    <x v="2"/>
    <s v="Standard"/>
    <d v="2022-12-18T00:00:00"/>
    <n v="299.98"/>
  </r>
  <r>
    <s v="TRX0051"/>
    <x v="125"/>
    <s v="CUST032"/>
    <s v="Sandra Phillips"/>
    <s v="P007"/>
    <x v="6"/>
    <x v="2"/>
    <n v="3"/>
    <n v="299.99"/>
    <s v="Credit Card"/>
    <x v="1"/>
    <s v="Basic"/>
    <d v="2023-10-05T00:00:00"/>
    <n v="899.97"/>
  </r>
  <r>
    <s v="TRX0106"/>
    <x v="126"/>
    <s v="CUST039"/>
    <s v="Lawrence Reed"/>
    <s v="P006"/>
    <x v="9"/>
    <x v="2"/>
    <n v="4"/>
    <n v="199.99"/>
    <s v="Debit Card"/>
    <x v="1"/>
    <s v="Standard"/>
    <d v="2021-12-14T00:00:00"/>
    <n v="799.96"/>
  </r>
  <r>
    <s v="TRX0059"/>
    <x v="126"/>
    <s v="CUST016"/>
    <s v="Elizabeth Hall"/>
    <s v="P007"/>
    <x v="6"/>
    <x v="2"/>
    <n v="5"/>
    <n v="299.99"/>
    <s v="Debit Card"/>
    <x v="0"/>
    <s v="Basic"/>
    <d v="2021-08-23T00:00:00"/>
    <n v="1499.95"/>
  </r>
  <r>
    <s v="TRX0072"/>
    <x v="126"/>
    <s v="CUST009"/>
    <s v="Robert Thomas"/>
    <s v="P008"/>
    <x v="2"/>
    <x v="2"/>
    <n v="3"/>
    <n v="149.99"/>
    <s v="Credit Card"/>
    <x v="4"/>
    <s v="Standard"/>
    <d v="2021-07-18T00:00:00"/>
    <n v="449.97"/>
  </r>
  <r>
    <s v="TRX0110"/>
    <x v="127"/>
    <s v="CUST006"/>
    <s v="Lisa Anderson"/>
    <s v="P005"/>
    <x v="1"/>
    <x v="1"/>
    <n v="5"/>
    <n v="59.99"/>
    <s v="Debit Card"/>
    <x v="4"/>
    <s v="Basic"/>
    <d v="2022-03-22T00:00:00"/>
    <n v="299.95"/>
  </r>
  <r>
    <s v="TRX0126"/>
    <x v="128"/>
    <s v="CUST022"/>
    <s v="Susan Green"/>
    <s v="P005"/>
    <x v="1"/>
    <x v="1"/>
    <n v="4"/>
    <n v="59.99"/>
    <s v="Debit Card"/>
    <x v="4"/>
    <s v="Standard"/>
    <d v="2022-01-03T00:00:00"/>
    <n v="239.96"/>
  </r>
  <r>
    <s v="TRX0159"/>
    <x v="129"/>
    <s v="CUST024"/>
    <s v="Dorothy Nelson"/>
    <s v="P009"/>
    <x v="0"/>
    <x v="0"/>
    <n v="4"/>
    <n v="249.99"/>
    <s v="Debit Card"/>
    <x v="0"/>
    <s v="Premium"/>
    <d v="2023-10-18T00:00:00"/>
    <n v="999.96"/>
  </r>
  <r>
    <s v="TRX0030"/>
    <x v="130"/>
    <s v="CUST011"/>
    <s v="William White"/>
    <s v="P001"/>
    <x v="4"/>
    <x v="0"/>
    <n v="4"/>
    <n v="899.99"/>
    <s v="PayPal"/>
    <x v="0"/>
    <s v="Basic"/>
    <d v="2022-06-22T00:00:00"/>
    <n v="3599.96"/>
  </r>
  <r>
    <s v="TRX0178"/>
    <x v="130"/>
    <s v="CUST025"/>
    <s v="Mark Carter"/>
    <s v="P007"/>
    <x v="6"/>
    <x v="2"/>
    <n v="3"/>
    <n v="299.99"/>
    <s v="Debit Card"/>
    <x v="3"/>
    <s v="Standard"/>
    <d v="2023-01-26T00:00:00"/>
    <n v="899.97"/>
  </r>
  <r>
    <s v="TRX0188"/>
    <x v="130"/>
    <s v="CUST045"/>
    <s v="Douglas Watson"/>
    <s v="P002"/>
    <x v="5"/>
    <x v="0"/>
    <n v="2"/>
    <n v="699.99"/>
    <s v="Debit Card"/>
    <x v="0"/>
    <s v="Premium"/>
    <d v="2022-04-30T00:00:00"/>
    <n v="1399.98"/>
  </r>
  <r>
    <s v="TRX0010"/>
    <x v="131"/>
    <s v="CUST026"/>
    <s v="Karen Hill"/>
    <s v="P002"/>
    <x v="5"/>
    <x v="0"/>
    <n v="4"/>
    <n v="699.99"/>
    <s v="Debit Card"/>
    <x v="3"/>
    <s v="Premium"/>
    <d v="2022-05-11T00:00:00"/>
    <n v="2799.96"/>
  </r>
  <r>
    <s v="TRX0069"/>
    <x v="131"/>
    <s v="CUST029"/>
    <s v="Edward Mitchell"/>
    <s v="P010"/>
    <x v="8"/>
    <x v="0"/>
    <n v="2"/>
    <n v="89.99"/>
    <s v="Debit Card"/>
    <x v="1"/>
    <s v="Basic"/>
    <d v="2022-08-04T00:00:00"/>
    <n v="179.98"/>
  </r>
  <r>
    <s v="TRX0166"/>
    <x v="131"/>
    <s v="CUST003"/>
    <s v="Michael Brown"/>
    <s v="P010"/>
    <x v="8"/>
    <x v="0"/>
    <n v="3"/>
    <n v="89.99"/>
    <s v="Debit Card"/>
    <x v="1"/>
    <s v="Premium"/>
    <d v="2024-01-16T00:00:00"/>
    <n v="269.97000000000003"/>
  </r>
  <r>
    <s v="TRX0219"/>
    <x v="132"/>
    <s v="CUST037"/>
    <s v="Arthur Edwards"/>
    <s v="P005"/>
    <x v="1"/>
    <x v="1"/>
    <n v="1"/>
    <n v="59.99"/>
    <s v="Debit Card"/>
    <x v="0"/>
    <s v="Standard"/>
    <d v="2023-04-29T00:00:00"/>
    <n v="59.99"/>
  </r>
  <r>
    <s v="TRX0024"/>
    <x v="133"/>
    <s v="CUST042"/>
    <s v="Ruth Brooks"/>
    <s v="P008"/>
    <x v="2"/>
    <x v="2"/>
    <n v="3"/>
    <n v="149.99"/>
    <s v="Debit Card"/>
    <x v="2"/>
    <s v="Premium"/>
    <d v="2022-01-03T00:00:00"/>
    <n v="449.97"/>
  </r>
  <r>
    <s v="TRX0105"/>
    <x v="133"/>
    <s v="CUST048"/>
    <s v="Virginia Sanders"/>
    <s v="P007"/>
    <x v="6"/>
    <x v="2"/>
    <n v="5"/>
    <n v="299.99"/>
    <s v="Credit Card"/>
    <x v="1"/>
    <s v="Basic"/>
    <d v="2023-02-02T00:00:00"/>
    <n v="1499.95"/>
  </r>
  <r>
    <s v="TRX0011"/>
    <x v="134"/>
    <s v="CUST040"/>
    <s v="Sharon Butler"/>
    <s v="P005"/>
    <x v="1"/>
    <x v="1"/>
    <n v="5"/>
    <n v="59.99"/>
    <s v="Debit Card"/>
    <x v="0"/>
    <s v="Standard"/>
    <d v="2023-09-08T00:00:00"/>
    <n v="299.95"/>
  </r>
  <r>
    <s v="TRX0187"/>
    <x v="135"/>
    <s v="CUST036"/>
    <s v="Nancy Collins"/>
    <s v="P004"/>
    <x v="7"/>
    <x v="1"/>
    <n v="3"/>
    <n v="79.989999999999995"/>
    <s v="Cash"/>
    <x v="4"/>
    <s v="Premium"/>
    <d v="2021-08-28T00:00:00"/>
    <n v="239.97"/>
  </r>
  <r>
    <s v="TRX0089"/>
    <x v="136"/>
    <s v="CUST021"/>
    <s v="Kevin Scott"/>
    <s v="P006"/>
    <x v="9"/>
    <x v="2"/>
    <n v="3"/>
    <n v="199.99"/>
    <s v="Cash"/>
    <x v="0"/>
    <s v="Basic"/>
    <d v="2022-06-23T00:00:00"/>
    <n v="599.97"/>
  </r>
  <r>
    <s v="TRX0196"/>
    <x v="136"/>
    <s v="CUST023"/>
    <s v="Paul Baker"/>
    <s v="P010"/>
    <x v="8"/>
    <x v="0"/>
    <n v="2"/>
    <n v="89.99"/>
    <s v="PayPal"/>
    <x v="0"/>
    <s v="Basic"/>
    <d v="2023-11-27T00:00:00"/>
    <n v="179.98"/>
  </r>
  <r>
    <s v="TRX0118"/>
    <x v="137"/>
    <s v="CUST015"/>
    <s v="Richard Lee"/>
    <s v="P008"/>
    <x v="2"/>
    <x v="2"/>
    <n v="2"/>
    <n v="149.99"/>
    <s v="Cash"/>
    <x v="1"/>
    <s v="Premium"/>
    <d v="2022-06-16T00:00:00"/>
    <n v="299.98"/>
  </r>
  <r>
    <s v="TRX0179"/>
    <x v="138"/>
    <s v="CUST029"/>
    <s v="Edward Mitchell"/>
    <s v="P002"/>
    <x v="5"/>
    <x v="0"/>
    <n v="5"/>
    <n v="699.99"/>
    <s v="PayPal"/>
    <x v="1"/>
    <s v="Premium"/>
    <d v="2024-03-01T00:00:00"/>
    <n v="3499.95"/>
  </r>
  <r>
    <s v="TRX0168"/>
    <x v="138"/>
    <s v="CUST003"/>
    <s v="Michael Brown"/>
    <s v="P008"/>
    <x v="2"/>
    <x v="2"/>
    <n v="3"/>
    <n v="149.99"/>
    <s v="PayPal"/>
    <x v="0"/>
    <s v="Standard"/>
    <d v="2022-03-13T00:00:00"/>
    <n v="449.97"/>
  </r>
  <r>
    <s v="TRX0214"/>
    <x v="139"/>
    <s v="CUST018"/>
    <s v="Barbara Young"/>
    <s v="P001"/>
    <x v="4"/>
    <x v="0"/>
    <n v="3"/>
    <n v="899.99"/>
    <s v="Cash"/>
    <x v="4"/>
    <s v="Standard"/>
    <d v="2022-02-21T00:00:00"/>
    <n v="2699.97"/>
  </r>
  <r>
    <s v="TRX0221"/>
    <x v="139"/>
    <s v="CUST033"/>
    <s v="Frank Torres"/>
    <s v="P006"/>
    <x v="9"/>
    <x v="2"/>
    <n v="3"/>
    <n v="199.99"/>
    <s v="Cash"/>
    <x v="3"/>
    <s v="Premium"/>
    <d v="2022-09-19T00:00:00"/>
    <n v="599.97"/>
  </r>
  <r>
    <s v="TRX0083"/>
    <x v="140"/>
    <s v="CUST017"/>
    <s v="Charles Allen"/>
    <s v="P007"/>
    <x v="6"/>
    <x v="2"/>
    <n v="5"/>
    <n v="299.99"/>
    <s v="Cash"/>
    <x v="3"/>
    <s v="Standard"/>
    <d v="2023-08-04T00:00:00"/>
    <n v="1499.95"/>
  </r>
  <r>
    <s v="TRX0151"/>
    <x v="140"/>
    <s v="CUST040"/>
    <s v="Sharon Butler"/>
    <s v="P002"/>
    <x v="5"/>
    <x v="0"/>
    <n v="1"/>
    <n v="699.99"/>
    <s v="PayPal"/>
    <x v="3"/>
    <s v="Basic"/>
    <d v="2023-01-08T00:00:00"/>
    <n v="699.99"/>
  </r>
  <r>
    <s v="TRX0047"/>
    <x v="141"/>
    <s v="CUST042"/>
    <s v="Ruth Brooks"/>
    <s v="P002"/>
    <x v="5"/>
    <x v="0"/>
    <n v="1"/>
    <n v="699.99"/>
    <s v="Cash"/>
    <x v="2"/>
    <s v="Premium"/>
    <d v="2022-01-22T00:00:00"/>
    <n v="699.99"/>
  </r>
  <r>
    <s v="TRX0200"/>
    <x v="141"/>
    <s v="CUST037"/>
    <s v="Arthur Edwards"/>
    <s v="P008"/>
    <x v="2"/>
    <x v="2"/>
    <n v="4"/>
    <n v="149.99"/>
    <s v="PayPal"/>
    <x v="2"/>
    <s v="Premium"/>
    <d v="2021-08-04T00:00:00"/>
    <n v="599.96"/>
  </r>
  <r>
    <s v="TRX0062"/>
    <x v="141"/>
    <s v="CUST016"/>
    <s v="Elizabeth Hall"/>
    <s v="P010"/>
    <x v="8"/>
    <x v="0"/>
    <n v="5"/>
    <n v="89.99"/>
    <s v="PayPal"/>
    <x v="3"/>
    <s v="Premium"/>
    <d v="2023-08-02T00:00:00"/>
    <n v="449.95"/>
  </r>
  <r>
    <s v="TRX0182"/>
    <x v="142"/>
    <s v="CUST031"/>
    <s v="Steven Turner"/>
    <s v="P006"/>
    <x v="9"/>
    <x v="2"/>
    <n v="2"/>
    <n v="199.99"/>
    <s v="Cash"/>
    <x v="0"/>
    <s v="Premium"/>
    <d v="2022-01-12T00:00:00"/>
    <n v="399.98"/>
  </r>
  <r>
    <s v="TRX0229"/>
    <x v="143"/>
    <s v="CUST015"/>
    <s v="Richard Lee"/>
    <s v="P005"/>
    <x v="1"/>
    <x v="1"/>
    <n v="4"/>
    <n v="59.99"/>
    <s v="Cash"/>
    <x v="3"/>
    <s v="Standard"/>
    <d v="2023-05-24T00:00:00"/>
    <n v="239.96"/>
  </r>
  <r>
    <s v="TRX0048"/>
    <x v="143"/>
    <s v="CUST048"/>
    <s v="Virginia Sanders"/>
    <s v="P007"/>
    <x v="6"/>
    <x v="2"/>
    <n v="2"/>
    <n v="299.99"/>
    <s v="PayPal"/>
    <x v="1"/>
    <s v="Basic"/>
    <d v="2022-01-15T00:00:00"/>
    <n v="599.98"/>
  </r>
  <r>
    <s v="TRX0227"/>
    <x v="144"/>
    <s v="CUST017"/>
    <s v="Charles Allen"/>
    <s v="P008"/>
    <x v="2"/>
    <x v="2"/>
    <n v="2"/>
    <n v="149.99"/>
    <s v="Cash"/>
    <x v="0"/>
    <s v="Basic"/>
    <d v="2023-05-22T00:00:00"/>
    <n v="299.98"/>
  </r>
  <r>
    <s v="TRX0226"/>
    <x v="145"/>
    <s v="CUST039"/>
    <s v="Lawrence Reed"/>
    <s v="P002"/>
    <x v="5"/>
    <x v="0"/>
    <n v="5"/>
    <n v="699.99"/>
    <s v="Debit Card"/>
    <x v="4"/>
    <s v="Premium"/>
    <d v="2023-08-23T00:00:00"/>
    <n v="3499.95"/>
  </r>
  <r>
    <s v="TRX0053"/>
    <x v="146"/>
    <s v="CUST043"/>
    <s v="Dennis Gray"/>
    <s v="P005"/>
    <x v="1"/>
    <x v="1"/>
    <n v="5"/>
    <n v="59.99"/>
    <s v="Cash"/>
    <x v="3"/>
    <s v="Premium"/>
    <d v="2023-12-31T00:00:00"/>
    <n v="299.95"/>
  </r>
  <r>
    <s v="TRX0233"/>
    <x v="147"/>
    <s v="CUST023"/>
    <s v="Paul Baker"/>
    <s v="P010"/>
    <x v="8"/>
    <x v="0"/>
    <n v="2"/>
    <n v="89.99"/>
    <s v="Credit Card"/>
    <x v="3"/>
    <s v="Premium"/>
    <d v="2024-01-04T00:00:00"/>
    <n v="179.98"/>
  </r>
  <r>
    <s v="TRX0175"/>
    <x v="147"/>
    <s v="CUST030"/>
    <s v="Helen Roberts"/>
    <s v="P009"/>
    <x v="0"/>
    <x v="0"/>
    <n v="5"/>
    <n v="249.99"/>
    <s v="Cash"/>
    <x v="4"/>
    <s v="Standard"/>
    <d v="2021-12-10T00:00:00"/>
    <n v="1249.95"/>
  </r>
  <r>
    <s v="TRX0186"/>
    <x v="148"/>
    <s v="CUST039"/>
    <s v="Lawrence Reed"/>
    <s v="P008"/>
    <x v="2"/>
    <x v="2"/>
    <n v="2"/>
    <n v="149.99"/>
    <s v="PayPal"/>
    <x v="0"/>
    <s v="Premium"/>
    <d v="2022-03-12T00:00:00"/>
    <n v="299.98"/>
  </r>
  <r>
    <s v="TRX0016"/>
    <x v="148"/>
    <s v="CUST035"/>
    <s v="Harry Morgan"/>
    <s v="P001"/>
    <x v="4"/>
    <x v="0"/>
    <n v="5"/>
    <n v="899.99"/>
    <s v="PayPal"/>
    <x v="4"/>
    <s v="Premium"/>
    <d v="2024-04-07T00:00:00"/>
    <n v="4499.95"/>
  </r>
  <r>
    <s v="TRX0199"/>
    <x v="148"/>
    <s v="CUST017"/>
    <s v="Charles Allen"/>
    <s v="P008"/>
    <x v="2"/>
    <x v="2"/>
    <n v="4"/>
    <n v="149.99"/>
    <s v="Cash"/>
    <x v="0"/>
    <s v="Standard"/>
    <d v="2023-12-03T00:00:00"/>
    <n v="599.96"/>
  </r>
  <r>
    <s v="TRX0038"/>
    <x v="149"/>
    <s v="CUST035"/>
    <s v="Harry Morgan"/>
    <s v="P009"/>
    <x v="0"/>
    <x v="0"/>
    <n v="1"/>
    <n v="249.99"/>
    <s v="Cash"/>
    <x v="2"/>
    <s v="Standard"/>
    <d v="2023-07-10T00:00:00"/>
    <n v="249.99"/>
  </r>
  <r>
    <s v="TRX0014"/>
    <x v="150"/>
    <s v="CUST033"/>
    <s v="Frank Torres"/>
    <s v="P005"/>
    <x v="1"/>
    <x v="1"/>
    <n v="2"/>
    <n v="59.99"/>
    <s v="Credit Card"/>
    <x v="3"/>
    <s v="Basic"/>
    <d v="2023-09-24T00:00:00"/>
    <n v="119.98"/>
  </r>
  <r>
    <s v="TRX0003"/>
    <x v="151"/>
    <s v="CUST002"/>
    <s v="Emma Wilson"/>
    <s v="P008"/>
    <x v="2"/>
    <x v="2"/>
    <n v="2"/>
    <n v="149.99"/>
    <s v="Cash"/>
    <x v="3"/>
    <s v="Premium"/>
    <d v="2023-11-03T00:00:00"/>
    <n v="299.98"/>
  </r>
  <r>
    <s v="TRX0124"/>
    <x v="151"/>
    <s v="CUST040"/>
    <s v="Sharon Butler"/>
    <s v="P001"/>
    <x v="4"/>
    <x v="0"/>
    <n v="3"/>
    <n v="899.99"/>
    <s v="Debit Card"/>
    <x v="2"/>
    <s v="Premium"/>
    <d v="2022-11-11T00:00:00"/>
    <n v="2699.97"/>
  </r>
  <r>
    <s v="TRX0013"/>
    <x v="151"/>
    <s v="CUST024"/>
    <s v="Dorothy Nelson"/>
    <s v="P001"/>
    <x v="4"/>
    <x v="0"/>
    <n v="3"/>
    <n v="899.99"/>
    <s v="PayPal"/>
    <x v="2"/>
    <s v="Basic"/>
    <d v="2023-02-18T00:00:00"/>
    <n v="2699.97"/>
  </r>
  <r>
    <s v="TRX0019"/>
    <x v="152"/>
    <s v="CUST023"/>
    <s v="Paul Baker"/>
    <s v="P007"/>
    <x v="6"/>
    <x v="2"/>
    <n v="3"/>
    <n v="299.99"/>
    <s v="Credit Card"/>
    <x v="3"/>
    <s v="Premium"/>
    <d v="2023-11-04T00:00:00"/>
    <n v="899.97"/>
  </r>
  <r>
    <s v="TRX0050"/>
    <x v="153"/>
    <s v="CUST001"/>
    <s v="John Smith"/>
    <s v="P008"/>
    <x v="2"/>
    <x v="2"/>
    <n v="4"/>
    <n v="149.99"/>
    <s v="PayPal"/>
    <x v="3"/>
    <s v="Standard"/>
    <d v="2021-12-30T00:00:00"/>
    <n v="599.96"/>
  </r>
  <r>
    <s v="TRX0152"/>
    <x v="154"/>
    <s v="CUST044"/>
    <s v="Cynthia Price"/>
    <s v="P004"/>
    <x v="7"/>
    <x v="1"/>
    <n v="4"/>
    <n v="79.989999999999995"/>
    <s v="Credit Card"/>
    <x v="0"/>
    <s v="Basic"/>
    <d v="2023-12-28T00:00:00"/>
    <n v="319.95999999999998"/>
  </r>
  <r>
    <s v="TRX0213"/>
    <x v="155"/>
    <s v="CUST020"/>
    <s v="Margaret Wright"/>
    <s v="P010"/>
    <x v="8"/>
    <x v="0"/>
    <n v="5"/>
    <n v="89.99"/>
    <s v="PayPal"/>
    <x v="1"/>
    <s v="Basic"/>
    <d v="2022-05-23T00:00:00"/>
    <n v="449.95"/>
  </r>
  <r>
    <s v="TRX0197"/>
    <x v="156"/>
    <s v="CUST048"/>
    <s v="Virginia Sanders"/>
    <s v="P008"/>
    <x v="2"/>
    <x v="2"/>
    <n v="3"/>
    <n v="149.99"/>
    <s v="PayPal"/>
    <x v="0"/>
    <s v="Standard"/>
    <d v="2023-09-02T00:00:00"/>
    <n v="449.97"/>
  </r>
  <r>
    <s v="TRX0250"/>
    <x v="156"/>
    <s v="CUST026"/>
    <s v="Karen Hill"/>
    <s v="P010"/>
    <x v="8"/>
    <x v="0"/>
    <n v="2"/>
    <n v="89.99"/>
    <s v="Debit Card"/>
    <x v="3"/>
    <s v="Premium"/>
    <d v="2021-11-22T00:00:00"/>
    <n v="179.98"/>
  </r>
  <r>
    <s v="TRX0068"/>
    <x v="157"/>
    <s v="CUST044"/>
    <s v="Cynthia Price"/>
    <s v="P002"/>
    <x v="5"/>
    <x v="0"/>
    <n v="2"/>
    <n v="699.99"/>
    <s v="PayPal"/>
    <x v="2"/>
    <s v="Standard"/>
    <d v="2022-02-26T00:00:00"/>
    <n v="1399.98"/>
  </r>
  <r>
    <s v="TRX0144"/>
    <x v="158"/>
    <s v="CUST029"/>
    <s v="Edward Mitchell"/>
    <s v="P001"/>
    <x v="4"/>
    <x v="0"/>
    <n v="3"/>
    <n v="899.99"/>
    <s v="Cash"/>
    <x v="0"/>
    <s v="Standard"/>
    <d v="2023-01-27T00:00:00"/>
    <n v="2699.97"/>
  </r>
  <r>
    <s v="TRX0039"/>
    <x v="159"/>
    <s v="CUST048"/>
    <s v="Virginia Sanders"/>
    <s v="P004"/>
    <x v="7"/>
    <x v="1"/>
    <n v="3"/>
    <n v="79.989999999999995"/>
    <s v="Credit Card"/>
    <x v="2"/>
    <s v="Basic"/>
    <d v="2021-11-11T00:00:00"/>
    <n v="239.97"/>
  </r>
  <r>
    <s v="TRX0116"/>
    <x v="160"/>
    <s v="CUST009"/>
    <s v="Robert Thomas"/>
    <s v="P010"/>
    <x v="8"/>
    <x v="0"/>
    <n v="1"/>
    <n v="89.99"/>
    <s v="Debit Card"/>
    <x v="4"/>
    <s v="Basic"/>
    <d v="2024-02-24T00:00:00"/>
    <n v="89.99"/>
  </r>
  <r>
    <s v="TRX0120"/>
    <x v="161"/>
    <s v="CUST045"/>
    <s v="Douglas Watson"/>
    <s v="P002"/>
    <x v="5"/>
    <x v="0"/>
    <n v="3"/>
    <n v="699.99"/>
    <s v="PayPal"/>
    <x v="2"/>
    <s v="Basic"/>
    <d v="2022-12-14T00:00:00"/>
    <n v="2099.9699999999998"/>
  </r>
  <r>
    <s v="TRX0103"/>
    <x v="161"/>
    <s v="CUST039"/>
    <s v="Lawrence Reed"/>
    <s v="P010"/>
    <x v="8"/>
    <x v="0"/>
    <n v="2"/>
    <n v="89.99"/>
    <s v="Debit Card"/>
    <x v="4"/>
    <s v="Basic"/>
    <d v="2023-06-11T00:00:00"/>
    <n v="179.98"/>
  </r>
  <r>
    <s v="TRX0064"/>
    <x v="161"/>
    <s v="CUST031"/>
    <s v="Steven Turner"/>
    <s v="P010"/>
    <x v="8"/>
    <x v="0"/>
    <n v="3"/>
    <n v="89.99"/>
    <s v="Debit Card"/>
    <x v="2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853A4-F708-4D92-B3CF-D0C21189FD71}" name="PivotTable1" cacheId="8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10" firstHeaderRow="1" firstDataRow="2" firstDataCol="1"/>
  <pivotFields count="14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6" outline="0" showAll="0"/>
    <pivotField compact="0" outline="0" showAll="0"/>
    <pivotField axis="axisRow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5" outline="0" showAll="0"/>
    <pivotField dataField="1" compact="0" numFmtId="166" outline="0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_Amount" fld="13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DCCE9-A3B0-4D38-B12D-7C4288B8CF08}" name="PivotTable2" cacheId="87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">
  <location ref="A3:B17" firstHeaderRow="1" firstDataRow="1" firstDataCol="1"/>
  <pivotFields count="14">
    <pivotField compact="0" outline="0" showAll="0"/>
    <pivotField axis="axisRow" compact="0" numFmtId="165" outline="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166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5" outline="0" showAll="0"/>
    <pivotField dataField="1" compact="0" numFmtId="166" outline="0" showAll="0"/>
  </pivotFields>
  <rowFields count="1">
    <field x="1"/>
  </rowFields>
  <rowItems count="14"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 t="grand">
      <x/>
    </i>
  </rowItems>
  <colItems count="1">
    <i/>
  </colItems>
  <dataFields count="1">
    <dataField name="Sum of Total_Amount" fld="1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" name="Date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DCD84-612C-426B-823D-8F38F635C63C}" name="PivotTable3" cacheId="8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4" firstHeaderRow="0" firstDataRow="1" firstDataCol="1"/>
  <pivotFields count="14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5"/>
        <item x="9"/>
        <item x="0"/>
        <item x="4"/>
        <item x="8"/>
        <item x="3"/>
        <item x="6"/>
        <item x="7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numFmtId="166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numFmtId="165" outline="0" showAll="0"/>
    <pivotField dataField="1" compact="0" numFmtId="166" outline="0" showAll="0"/>
  </pivotFields>
  <rowFields count="1">
    <field x="5"/>
  </rowFields>
  <rowItems count="11">
    <i>
      <x v="8"/>
    </i>
    <i>
      <x/>
    </i>
    <i>
      <x v="4"/>
    </i>
    <i>
      <x v="2"/>
    </i>
    <i>
      <x v="9"/>
    </i>
    <i>
      <x v="6"/>
    </i>
    <i>
      <x v="3"/>
    </i>
    <i>
      <x v="1"/>
    </i>
    <i>
      <x v="5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3" baseField="0" baseItem="0" numFmtId="166"/>
    <dataField name="Sum of Quantity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1EBD5634-29DB-48DE-BDB1-39FC48188EE0}" sourceName="Region">
  <pivotTables>
    <pivotTable tabId="8" name="PivotTable2"/>
  </pivotTables>
  <data>
    <tabular pivotCacheId="574803804">
      <items count="5">
        <i x="0" s="1"/>
        <i x="4" s="1"/>
        <i x="2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157C345C-91CD-4799-A3E5-E022FF5A3D12}" sourceName="Category">
  <pivotTables>
    <pivotTable tabId="8" name="PivotTable2"/>
  </pivotTables>
  <data>
    <tabular pivotCacheId="574803804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2" xr10:uid="{B97A9986-D554-4E3D-AB16-5BDE3EB94405}" sourceName="Region">
  <pivotTables>
    <pivotTable tabId="9" name="PivotTable3"/>
  </pivotTables>
  <data>
    <tabular pivotCacheId="574803804">
      <items count="5">
        <i x="0" s="1"/>
        <i x="4" s="1"/>
        <i x="2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2" xr10:uid="{B61EA896-3F7F-4D8A-9568-030FEAD9D3B4}" sourceName="Category">
  <pivotTables>
    <pivotTable tabId="9" name="PivotTable3"/>
  </pivotTables>
  <data>
    <tabular pivotCacheId="574803804">
      <items count="3">
        <i x="1" s="1"/>
        <i x="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5C42A15-A3F8-4201-9ED0-CF3BEDBBAA57}" sourceName="Region">
  <extLst>
    <x:ext xmlns:x15="http://schemas.microsoft.com/office/spreadsheetml/2010/11/main" uri="{2F2917AC-EB37-4324-AD4E-5DD8C200BD13}">
      <x15:tableSlicerCache tableId="1" column="1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4174E35-6281-4D2A-AA0D-77C12CEBC5A7}" sourceName="Category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D0EF3274-9F36-423D-B007-0DA3D1DC923B}" cache="Slicer_Region" caption="Region" rowHeight="228600"/>
  <slicer name="Category" xr10:uid="{1FD5064A-42AB-4AFA-98A7-F85B014E2F10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9D7EB6E4-1B80-410B-A9E6-F59D7B266A8B}" cache="Slicer_Region1" caption="Region" rowHeight="228600"/>
  <slicer name="Category 1" xr10:uid="{B0FB911E-3A55-4F24-9ED5-3F3F91972711}" cache="Slicer_Category1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2" xr10:uid="{3B4B4722-9645-4435-84FB-D91D646B1FD2}" cache="Slicer_Region2" caption="Region" rowHeight="228600"/>
  <slicer name="Category 2" xr10:uid="{9AA53053-A089-4068-9A50-ACD27CF3136F}" cache="Slicer_Category2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nsactions" displayName="tblTransactions" ref="A1:N251">
  <autoFilter ref="A1:N251" xr:uid="{00000000-0009-0000-0100-000001000000}">
    <filterColumn colId="6">
      <filters>
        <filter val="Electronics"/>
      </filters>
    </filterColumn>
    <filterColumn colId="10">
      <filters>
        <filter val="East"/>
      </filters>
    </filterColumn>
  </autoFilter>
  <tableColumns count="14">
    <tableColumn id="1" xr3:uid="{00000000-0010-0000-0000-000001000000}" name="Transaction_ID"/>
    <tableColumn id="2" xr3:uid="{00000000-0010-0000-0000-000002000000}" name="Date"/>
    <tableColumn id="3" xr3:uid="{00000000-0010-0000-0000-000003000000}" name="Customer_ID"/>
    <tableColumn id="4" xr3:uid="{00000000-0010-0000-0000-000004000000}" name="Customer_Name"/>
    <tableColumn id="5" xr3:uid="{00000000-0010-0000-0000-000005000000}" name="Product_ID"/>
    <tableColumn id="6" xr3:uid="{00000000-0010-0000-0000-000006000000}" name="Product_Name"/>
    <tableColumn id="7" xr3:uid="{00000000-0010-0000-0000-000007000000}" name="Category"/>
    <tableColumn id="8" xr3:uid="{00000000-0010-0000-0000-000008000000}" name="Quantity"/>
    <tableColumn id="9" xr3:uid="{00000000-0010-0000-0000-000009000000}" name="Unit_Price"/>
    <tableColumn id="10" xr3:uid="{00000000-0010-0000-0000-00000A000000}" name="Payment_Method"/>
    <tableColumn id="11" xr3:uid="{00000000-0010-0000-0000-00000B000000}" name="Region"/>
    <tableColumn id="12" xr3:uid="{00000000-0010-0000-0000-00000C000000}" name="Customer_Segment"/>
    <tableColumn id="13" xr3:uid="{00000000-0010-0000-0000-00000D000000}" name="Customer_Since"/>
    <tableColumn id="14" xr3:uid="{00000000-0010-0000-0000-00000E000000}" name="Total_Am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E03306-4939-47F2-BCD7-DF3A961D1FF1}" name="Table2" displayName="Table2" ref="A3:N34" totalsRowShown="0">
  <autoFilter ref="A3:N34" xr:uid="{FDE03306-4939-47F2-BCD7-DF3A961D1FF1}"/>
  <tableColumns count="14">
    <tableColumn id="1" xr3:uid="{66005437-3EF4-4665-BB50-B27B205D42E8}" name="Transaction_ID"/>
    <tableColumn id="2" xr3:uid="{86E66812-B8EF-491D-9AAF-20C3D6180AC8}" name="Date" dataDxfId="9"/>
    <tableColumn id="3" xr3:uid="{80EF5171-E93F-4ACF-BB48-B9B566725380}" name="Customer_ID"/>
    <tableColumn id="4" xr3:uid="{A88349D1-7F09-4824-BD21-687ABAA4A67C}" name="Customer_Name"/>
    <tableColumn id="5" xr3:uid="{CE350C13-5A5D-4CD5-8F46-659B6F98C6BA}" name="Product_ID"/>
    <tableColumn id="6" xr3:uid="{884CED7F-3A6D-4BBB-9E2F-C8DFA11E2CE4}" name="Product_Name"/>
    <tableColumn id="7" xr3:uid="{9B74E2E2-B981-4DBF-AAEE-7EE8BAA3F28A}" name="Category"/>
    <tableColumn id="8" xr3:uid="{39426ABE-1E1B-4370-863D-38B441119272}" name="Quantity"/>
    <tableColumn id="9" xr3:uid="{41CC4AE1-4AA4-4AA6-9499-B0D074A06F3E}" name="Unit_Price"/>
    <tableColumn id="10" xr3:uid="{4AACCEFD-3851-466C-9BF8-0D42FBBC7CC5}" name="Payment_Method"/>
    <tableColumn id="11" xr3:uid="{D947D951-FACE-45EA-8A63-F26051BD6CE3}" name="Region"/>
    <tableColumn id="12" xr3:uid="{04DDF7FD-28BA-43DC-A1BA-52A61956D07F}" name="Customer_Segment"/>
    <tableColumn id="13" xr3:uid="{112C16F2-CA65-470C-A6CD-3A7443A31EA3}" name="Customer_Since" dataDxfId="8"/>
    <tableColumn id="14" xr3:uid="{2F6E41AC-BC00-49A7-B63D-2C55079C5633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1879DF12-108B-470E-9F3A-CFF2CD993E94}" sourceName="Date">
  <pivotTables>
    <pivotTable tabId="8" name="PivotTable2"/>
  </pivotTables>
  <state minimalRefreshVersion="6" lastRefreshVersion="6" pivotCacheId="574803804" filterType="dateBetween">
    <selection startDate="2025-03-01T00:00:00" endDate="2025-03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4F6473EE-2B05-4FF2-8C20-7821A84DBBA7}" cache="NativeTimeline_Date" caption="Date" level="2" selectionLevel="2" scrollPosition="2024-09-29T00:00:00"/>
</timeline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"/>
  <sheetViews>
    <sheetView workbookViewId="0"/>
  </sheetViews>
  <sheetFormatPr defaultRowHeight="15"/>
  <cols>
    <col min="1" max="1" width="130" customWidth="1"/>
  </cols>
  <sheetData>
    <row r="1" spans="1:1">
      <c r="A1" s="1" t="s">
        <v>0</v>
      </c>
    </row>
    <row r="2" spans="1:1" ht="210" customHeight="1">
      <c r="A2" s="2" t="s">
        <v>1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D1E3-2569-4B71-B4A7-55DDFBD64D71}">
  <dimension ref="A3:E10"/>
  <sheetViews>
    <sheetView workbookViewId="0">
      <selection activeCell="E15" sqref="E15"/>
    </sheetView>
  </sheetViews>
  <sheetFormatPr defaultRowHeight="15"/>
  <cols>
    <col min="1" max="1" width="21" bestFit="1" customWidth="1"/>
    <col min="2" max="2" width="12.28515625" bestFit="1" customWidth="1"/>
    <col min="3" max="3" width="12.5703125" bestFit="1" customWidth="1"/>
    <col min="4" max="4" width="11" bestFit="1" customWidth="1"/>
    <col min="5" max="5" width="12.5703125" bestFit="1" customWidth="1"/>
  </cols>
  <sheetData>
    <row r="3" spans="1:5">
      <c r="A3" s="88" t="s">
        <v>2</v>
      </c>
      <c r="B3" s="88" t="s">
        <v>3</v>
      </c>
    </row>
    <row r="4" spans="1:5">
      <c r="A4" s="88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 s="86">
        <v>1999.71</v>
      </c>
      <c r="C5" s="86">
        <v>24889.329999999998</v>
      </c>
      <c r="D5" s="86">
        <v>14399.300000000001</v>
      </c>
      <c r="E5" s="86">
        <v>41288.339999999997</v>
      </c>
    </row>
    <row r="6" spans="1:5">
      <c r="A6" t="s">
        <v>10</v>
      </c>
      <c r="B6" s="86">
        <v>2239.67</v>
      </c>
      <c r="C6" s="86">
        <v>50649.009999999995</v>
      </c>
      <c r="D6" s="86">
        <v>6399.71</v>
      </c>
      <c r="E6" s="86">
        <v>59288.389999999992</v>
      </c>
    </row>
    <row r="7" spans="1:5">
      <c r="A7" t="s">
        <v>11</v>
      </c>
      <c r="B7" s="86">
        <v>1119.8399999999999</v>
      </c>
      <c r="C7" s="86">
        <v>39239.040000000015</v>
      </c>
      <c r="D7" s="86">
        <v>10449.429999999997</v>
      </c>
      <c r="E7" s="86">
        <v>50808.310000000012</v>
      </c>
    </row>
    <row r="8" spans="1:5">
      <c r="A8" t="s">
        <v>12</v>
      </c>
      <c r="B8" s="86">
        <v>1099.83</v>
      </c>
      <c r="C8" s="86">
        <v>25549.32</v>
      </c>
      <c r="D8" s="86">
        <v>9749.5999999999985</v>
      </c>
      <c r="E8" s="86">
        <v>36398.75</v>
      </c>
    </row>
    <row r="9" spans="1:5">
      <c r="A9" t="s">
        <v>13</v>
      </c>
      <c r="B9" s="86">
        <v>1879.69</v>
      </c>
      <c r="C9" s="86">
        <v>31429.35</v>
      </c>
      <c r="D9" s="86">
        <v>8099.6400000000012</v>
      </c>
      <c r="E9" s="86">
        <v>41408.68</v>
      </c>
    </row>
    <row r="10" spans="1:5">
      <c r="A10" t="s">
        <v>8</v>
      </c>
      <c r="B10" s="86">
        <v>8338.74</v>
      </c>
      <c r="C10" s="86">
        <v>171756.05000000002</v>
      </c>
      <c r="D10" s="86">
        <v>49097.679999999993</v>
      </c>
      <c r="E10" s="86">
        <v>229192.46999999997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6B7B"/>
    <pageSetUpPr fitToPage="1"/>
  </sheetPr>
  <dimension ref="A1:N255"/>
  <sheetViews>
    <sheetView workbookViewId="0">
      <selection activeCell="A96" sqref="A96"/>
    </sheetView>
  </sheetViews>
  <sheetFormatPr defaultRowHeight="15"/>
  <cols>
    <col min="1" max="1" width="14" customWidth="1"/>
    <col min="2" max="3" width="13" customWidth="1"/>
    <col min="4" max="4" width="18" customWidth="1"/>
    <col min="5" max="5" width="11" customWidth="1"/>
    <col min="6" max="6" width="15" customWidth="1"/>
    <col min="7" max="7" width="13" customWidth="1"/>
    <col min="8" max="8" width="10" customWidth="1"/>
    <col min="9" max="9" width="12" customWidth="1"/>
    <col min="10" max="10" width="15" customWidth="1"/>
    <col min="11" max="11" width="10" customWidth="1"/>
    <col min="12" max="12" width="16" customWidth="1"/>
    <col min="13" max="13" width="15" customWidth="1"/>
    <col min="14" max="14" width="14" customWidth="1"/>
  </cols>
  <sheetData>
    <row r="1" spans="1:14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3</v>
      </c>
      <c r="H1" s="3" t="s">
        <v>20</v>
      </c>
      <c r="I1" s="3" t="s">
        <v>21</v>
      </c>
      <c r="J1" s="3" t="s">
        <v>22</v>
      </c>
      <c r="K1" s="3" t="s">
        <v>4</v>
      </c>
      <c r="L1" s="3" t="s">
        <v>23</v>
      </c>
      <c r="M1" s="3" t="s">
        <v>24</v>
      </c>
      <c r="N1" s="3" t="s">
        <v>25</v>
      </c>
    </row>
    <row r="2" spans="1:14" hidden="1">
      <c r="A2" s="4" t="s">
        <v>26</v>
      </c>
      <c r="B2" s="5">
        <v>45393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6</v>
      </c>
      <c r="H2" s="4">
        <v>3</v>
      </c>
      <c r="I2" s="6">
        <v>249.99</v>
      </c>
      <c r="J2" s="4" t="s">
        <v>31</v>
      </c>
      <c r="K2" s="4" t="s">
        <v>9</v>
      </c>
      <c r="L2" s="4" t="s">
        <v>32</v>
      </c>
      <c r="M2" s="5">
        <v>44425</v>
      </c>
      <c r="N2" s="6">
        <v>749.97</v>
      </c>
    </row>
    <row r="3" spans="1:14" hidden="1">
      <c r="A3" s="4" t="s">
        <v>33</v>
      </c>
      <c r="B3" s="5">
        <v>45396</v>
      </c>
      <c r="C3" s="4" t="s">
        <v>34</v>
      </c>
      <c r="D3" s="4" t="s">
        <v>35</v>
      </c>
      <c r="E3" s="4" t="s">
        <v>29</v>
      </c>
      <c r="F3" s="4" t="s">
        <v>30</v>
      </c>
      <c r="G3" s="4" t="s">
        <v>6</v>
      </c>
      <c r="H3" s="4">
        <v>3</v>
      </c>
      <c r="I3" s="6">
        <v>249.99</v>
      </c>
      <c r="J3" s="4" t="s">
        <v>36</v>
      </c>
      <c r="K3" s="4" t="s">
        <v>9</v>
      </c>
      <c r="L3" s="4" t="s">
        <v>37</v>
      </c>
      <c r="M3" s="5">
        <v>44575</v>
      </c>
      <c r="N3" s="6">
        <v>749.97</v>
      </c>
    </row>
    <row r="4" spans="1:14" hidden="1">
      <c r="A4" s="4" t="s">
        <v>38</v>
      </c>
      <c r="B4" s="5">
        <v>45399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5</v>
      </c>
      <c r="H4" s="4">
        <v>3</v>
      </c>
      <c r="I4" s="6">
        <v>59.99</v>
      </c>
      <c r="J4" s="4" t="s">
        <v>43</v>
      </c>
      <c r="K4" s="4" t="s">
        <v>12</v>
      </c>
      <c r="L4" s="4" t="s">
        <v>44</v>
      </c>
      <c r="M4" s="5">
        <v>45262</v>
      </c>
      <c r="N4" s="6">
        <v>179.97</v>
      </c>
    </row>
    <row r="5" spans="1:14" hidden="1">
      <c r="A5" s="4" t="s">
        <v>45</v>
      </c>
      <c r="B5" s="5">
        <v>45400</v>
      </c>
      <c r="C5" s="4" t="s">
        <v>46</v>
      </c>
      <c r="D5" s="4" t="s">
        <v>47</v>
      </c>
      <c r="E5" s="4" t="s">
        <v>41</v>
      </c>
      <c r="F5" s="4" t="s">
        <v>42</v>
      </c>
      <c r="G5" s="4" t="s">
        <v>5</v>
      </c>
      <c r="H5" s="4">
        <v>3</v>
      </c>
      <c r="I5" s="6">
        <v>59.99</v>
      </c>
      <c r="J5" s="4" t="s">
        <v>31</v>
      </c>
      <c r="K5" s="4" t="s">
        <v>11</v>
      </c>
      <c r="L5" s="4" t="s">
        <v>37</v>
      </c>
      <c r="M5" s="5">
        <v>45114</v>
      </c>
      <c r="N5" s="6">
        <v>179.97</v>
      </c>
    </row>
    <row r="6" spans="1:14" hidden="1">
      <c r="A6" s="4" t="s">
        <v>48</v>
      </c>
      <c r="B6" s="5">
        <v>45400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7</v>
      </c>
      <c r="H6" s="4">
        <v>5</v>
      </c>
      <c r="I6" s="6">
        <v>149.99</v>
      </c>
      <c r="J6" s="4" t="s">
        <v>36</v>
      </c>
      <c r="K6" s="4" t="s">
        <v>11</v>
      </c>
      <c r="L6" s="4" t="s">
        <v>37</v>
      </c>
      <c r="M6" s="5">
        <v>45295</v>
      </c>
      <c r="N6" s="6">
        <v>749.95</v>
      </c>
    </row>
    <row r="7" spans="1:14" hidden="1">
      <c r="A7" s="4" t="s">
        <v>53</v>
      </c>
      <c r="B7" s="5">
        <v>45403</v>
      </c>
      <c r="C7" s="4" t="s">
        <v>54</v>
      </c>
      <c r="D7" s="4" t="s">
        <v>55</v>
      </c>
      <c r="E7" s="4" t="s">
        <v>41</v>
      </c>
      <c r="F7" s="4" t="s">
        <v>42</v>
      </c>
      <c r="G7" s="4" t="s">
        <v>5</v>
      </c>
      <c r="H7" s="4">
        <v>2</v>
      </c>
      <c r="I7" s="6">
        <v>59.99</v>
      </c>
      <c r="J7" s="4" t="s">
        <v>31</v>
      </c>
      <c r="K7" s="4" t="s">
        <v>13</v>
      </c>
      <c r="L7" s="4" t="s">
        <v>44</v>
      </c>
      <c r="M7" s="5">
        <v>44746</v>
      </c>
      <c r="N7" s="6">
        <v>119.98</v>
      </c>
    </row>
    <row r="8" spans="1:14" hidden="1">
      <c r="A8" s="4" t="s">
        <v>56</v>
      </c>
      <c r="B8" s="5">
        <v>45403</v>
      </c>
      <c r="C8" s="4" t="s">
        <v>54</v>
      </c>
      <c r="D8" s="4" t="s">
        <v>55</v>
      </c>
      <c r="E8" s="4" t="s">
        <v>57</v>
      </c>
      <c r="F8" s="4" t="s">
        <v>58</v>
      </c>
      <c r="G8" s="4" t="s">
        <v>6</v>
      </c>
      <c r="H8" s="4">
        <v>5</v>
      </c>
      <c r="I8" s="6">
        <v>149.99</v>
      </c>
      <c r="J8" s="4" t="s">
        <v>36</v>
      </c>
      <c r="K8" s="4" t="s">
        <v>9</v>
      </c>
      <c r="L8" s="4" t="s">
        <v>44</v>
      </c>
      <c r="M8" s="5">
        <v>44418</v>
      </c>
      <c r="N8" s="6">
        <v>749.95</v>
      </c>
    </row>
    <row r="9" spans="1:14" hidden="1">
      <c r="A9" s="4" t="s">
        <v>59</v>
      </c>
      <c r="B9" s="5">
        <v>45403</v>
      </c>
      <c r="C9" s="4" t="s">
        <v>60</v>
      </c>
      <c r="D9" s="4" t="s">
        <v>61</v>
      </c>
      <c r="E9" s="4" t="s">
        <v>41</v>
      </c>
      <c r="F9" s="4" t="s">
        <v>42</v>
      </c>
      <c r="G9" s="4" t="s">
        <v>5</v>
      </c>
      <c r="H9" s="4">
        <v>3</v>
      </c>
      <c r="I9" s="6">
        <v>59.99</v>
      </c>
      <c r="J9" s="4" t="s">
        <v>62</v>
      </c>
      <c r="K9" s="4" t="s">
        <v>12</v>
      </c>
      <c r="L9" s="4" t="s">
        <v>32</v>
      </c>
      <c r="M9" s="5">
        <v>45007</v>
      </c>
      <c r="N9" s="6">
        <v>179.97</v>
      </c>
    </row>
    <row r="10" spans="1:14">
      <c r="A10" s="4" t="s">
        <v>63</v>
      </c>
      <c r="B10" s="5">
        <v>45405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</v>
      </c>
      <c r="H10" s="4">
        <v>3</v>
      </c>
      <c r="I10" s="6">
        <v>899.99</v>
      </c>
      <c r="J10" s="4" t="s">
        <v>43</v>
      </c>
      <c r="K10" s="4" t="s">
        <v>10</v>
      </c>
      <c r="L10" s="4" t="s">
        <v>44</v>
      </c>
      <c r="M10" s="5">
        <v>45299</v>
      </c>
      <c r="N10" s="6">
        <v>2699.97</v>
      </c>
    </row>
    <row r="11" spans="1:14" hidden="1">
      <c r="A11" s="4" t="s">
        <v>68</v>
      </c>
      <c r="B11" s="5">
        <v>45408</v>
      </c>
      <c r="C11" s="4" t="s">
        <v>69</v>
      </c>
      <c r="D11" s="4" t="s">
        <v>70</v>
      </c>
      <c r="E11" s="4" t="s">
        <v>41</v>
      </c>
      <c r="F11" s="4" t="s">
        <v>42</v>
      </c>
      <c r="G11" s="4" t="s">
        <v>5</v>
      </c>
      <c r="H11" s="4">
        <v>3</v>
      </c>
      <c r="I11" s="6">
        <v>59.99</v>
      </c>
      <c r="J11" s="4" t="s">
        <v>31</v>
      </c>
      <c r="K11" s="4" t="s">
        <v>13</v>
      </c>
      <c r="L11" s="4" t="s">
        <v>37</v>
      </c>
      <c r="M11" s="5">
        <v>45207</v>
      </c>
      <c r="N11" s="6">
        <v>179.97</v>
      </c>
    </row>
    <row r="12" spans="1:14" hidden="1">
      <c r="A12" s="4" t="s">
        <v>71</v>
      </c>
      <c r="B12" s="5">
        <v>45408</v>
      </c>
      <c r="C12" s="4" t="s">
        <v>72</v>
      </c>
      <c r="D12" s="4" t="s">
        <v>73</v>
      </c>
      <c r="E12" s="4" t="s">
        <v>51</v>
      </c>
      <c r="F12" s="4" t="s">
        <v>52</v>
      </c>
      <c r="G12" s="4" t="s">
        <v>7</v>
      </c>
      <c r="H12" s="4">
        <v>1</v>
      </c>
      <c r="I12" s="6">
        <v>149.99</v>
      </c>
      <c r="J12" s="4" t="s">
        <v>36</v>
      </c>
      <c r="K12" s="4" t="s">
        <v>13</v>
      </c>
      <c r="L12" s="4" t="s">
        <v>44</v>
      </c>
      <c r="M12" s="5">
        <v>45103</v>
      </c>
      <c r="N12" s="6">
        <v>149.99</v>
      </c>
    </row>
    <row r="13" spans="1:14" hidden="1">
      <c r="A13" s="4" t="s">
        <v>74</v>
      </c>
      <c r="B13" s="5">
        <v>45408</v>
      </c>
      <c r="C13" s="4" t="s">
        <v>46</v>
      </c>
      <c r="D13" s="4" t="s">
        <v>47</v>
      </c>
      <c r="E13" s="4" t="s">
        <v>51</v>
      </c>
      <c r="F13" s="4" t="s">
        <v>52</v>
      </c>
      <c r="G13" s="4" t="s">
        <v>7</v>
      </c>
      <c r="H13" s="4">
        <v>5</v>
      </c>
      <c r="I13" s="6">
        <v>149.99</v>
      </c>
      <c r="J13" s="4" t="s">
        <v>62</v>
      </c>
      <c r="K13" s="4" t="s">
        <v>11</v>
      </c>
      <c r="L13" s="4" t="s">
        <v>32</v>
      </c>
      <c r="M13" s="5">
        <v>44830</v>
      </c>
      <c r="N13" s="6">
        <v>749.95</v>
      </c>
    </row>
    <row r="14" spans="1:14" hidden="1">
      <c r="A14" s="4" t="s">
        <v>75</v>
      </c>
      <c r="B14" s="5">
        <v>45408</v>
      </c>
      <c r="C14" s="4" t="s">
        <v>76</v>
      </c>
      <c r="D14" s="4" t="s">
        <v>77</v>
      </c>
      <c r="E14" s="4" t="s">
        <v>51</v>
      </c>
      <c r="F14" s="4" t="s">
        <v>52</v>
      </c>
      <c r="G14" s="4" t="s">
        <v>7</v>
      </c>
      <c r="H14" s="4">
        <v>3</v>
      </c>
      <c r="I14" s="6">
        <v>149.99</v>
      </c>
      <c r="J14" s="4" t="s">
        <v>31</v>
      </c>
      <c r="K14" s="4" t="s">
        <v>11</v>
      </c>
      <c r="L14" s="4" t="s">
        <v>37</v>
      </c>
      <c r="M14" s="5">
        <v>44806</v>
      </c>
      <c r="N14" s="6">
        <v>449.97</v>
      </c>
    </row>
    <row r="15" spans="1:14" hidden="1">
      <c r="A15" s="4" t="s">
        <v>78</v>
      </c>
      <c r="B15" s="5">
        <v>45409</v>
      </c>
      <c r="C15" s="4" t="s">
        <v>79</v>
      </c>
      <c r="D15" s="4" t="s">
        <v>80</v>
      </c>
      <c r="E15" s="4" t="s">
        <v>41</v>
      </c>
      <c r="F15" s="4" t="s">
        <v>42</v>
      </c>
      <c r="G15" s="4" t="s">
        <v>5</v>
      </c>
      <c r="H15" s="4">
        <v>3</v>
      </c>
      <c r="I15" s="6">
        <v>59.99</v>
      </c>
      <c r="J15" s="4" t="s">
        <v>36</v>
      </c>
      <c r="K15" s="4" t="s">
        <v>11</v>
      </c>
      <c r="L15" s="4" t="s">
        <v>44</v>
      </c>
      <c r="M15" s="5">
        <v>45351</v>
      </c>
      <c r="N15" s="6">
        <v>179.97</v>
      </c>
    </row>
    <row r="16" spans="1:14" hidden="1">
      <c r="A16" s="4" t="s">
        <v>81</v>
      </c>
      <c r="B16" s="5">
        <v>45409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6</v>
      </c>
      <c r="H16" s="4">
        <v>3</v>
      </c>
      <c r="I16" s="6">
        <v>699.99</v>
      </c>
      <c r="J16" s="4" t="s">
        <v>36</v>
      </c>
      <c r="K16" s="4" t="s">
        <v>13</v>
      </c>
      <c r="L16" s="4" t="s">
        <v>32</v>
      </c>
      <c r="M16" s="5">
        <v>44577</v>
      </c>
      <c r="N16" s="6">
        <v>2099.9699999999998</v>
      </c>
    </row>
    <row r="17" spans="1:14" hidden="1">
      <c r="A17" s="4" t="s">
        <v>86</v>
      </c>
      <c r="B17" s="5">
        <v>45409</v>
      </c>
      <c r="C17" s="4" t="s">
        <v>87</v>
      </c>
      <c r="D17" s="4" t="s">
        <v>88</v>
      </c>
      <c r="E17" s="4" t="s">
        <v>66</v>
      </c>
      <c r="F17" s="4" t="s">
        <v>67</v>
      </c>
      <c r="G17" s="4" t="s">
        <v>6</v>
      </c>
      <c r="H17" s="4">
        <v>1</v>
      </c>
      <c r="I17" s="6">
        <v>899.99</v>
      </c>
      <c r="J17" s="4" t="s">
        <v>62</v>
      </c>
      <c r="K17" s="4" t="s">
        <v>11</v>
      </c>
      <c r="L17" s="4" t="s">
        <v>44</v>
      </c>
      <c r="M17" s="5">
        <v>44920</v>
      </c>
      <c r="N17" s="6">
        <v>899.99</v>
      </c>
    </row>
    <row r="18" spans="1:14" hidden="1">
      <c r="A18" s="4" t="s">
        <v>89</v>
      </c>
      <c r="B18" s="5">
        <v>45410</v>
      </c>
      <c r="C18" s="4" t="s">
        <v>90</v>
      </c>
      <c r="D18" s="4" t="s">
        <v>91</v>
      </c>
      <c r="E18" s="4" t="s">
        <v>51</v>
      </c>
      <c r="F18" s="4" t="s">
        <v>52</v>
      </c>
      <c r="G18" s="4" t="s">
        <v>7</v>
      </c>
      <c r="H18" s="4">
        <v>4</v>
      </c>
      <c r="I18" s="6">
        <v>149.99</v>
      </c>
      <c r="J18" s="4" t="s">
        <v>62</v>
      </c>
      <c r="K18" s="4" t="s">
        <v>11</v>
      </c>
      <c r="L18" s="4" t="s">
        <v>37</v>
      </c>
      <c r="M18" s="5">
        <v>45374</v>
      </c>
      <c r="N18" s="6">
        <v>599.96</v>
      </c>
    </row>
    <row r="19" spans="1:14" hidden="1">
      <c r="A19" s="4" t="s">
        <v>92</v>
      </c>
      <c r="B19" s="5">
        <v>45410</v>
      </c>
      <c r="C19" s="4" t="s">
        <v>93</v>
      </c>
      <c r="D19" s="4" t="s">
        <v>94</v>
      </c>
      <c r="E19" s="4" t="s">
        <v>84</v>
      </c>
      <c r="F19" s="4" t="s">
        <v>85</v>
      </c>
      <c r="G19" s="4" t="s">
        <v>6</v>
      </c>
      <c r="H19" s="4">
        <v>2</v>
      </c>
      <c r="I19" s="6">
        <v>699.99</v>
      </c>
      <c r="J19" s="4" t="s">
        <v>31</v>
      </c>
      <c r="K19" s="4" t="s">
        <v>11</v>
      </c>
      <c r="L19" s="4" t="s">
        <v>32</v>
      </c>
      <c r="M19" s="5">
        <v>44781</v>
      </c>
      <c r="N19" s="6">
        <v>1399.98</v>
      </c>
    </row>
    <row r="20" spans="1:14" hidden="1">
      <c r="A20" s="4" t="s">
        <v>95</v>
      </c>
      <c r="B20" s="5">
        <v>45410</v>
      </c>
      <c r="C20" s="4" t="s">
        <v>90</v>
      </c>
      <c r="D20" s="4" t="s">
        <v>91</v>
      </c>
      <c r="E20" s="4" t="s">
        <v>66</v>
      </c>
      <c r="F20" s="4" t="s">
        <v>67</v>
      </c>
      <c r="G20" s="4" t="s">
        <v>6</v>
      </c>
      <c r="H20" s="4">
        <v>4</v>
      </c>
      <c r="I20" s="6">
        <v>899.99</v>
      </c>
      <c r="J20" s="4" t="s">
        <v>36</v>
      </c>
      <c r="K20" s="4" t="s">
        <v>13</v>
      </c>
      <c r="L20" s="4" t="s">
        <v>44</v>
      </c>
      <c r="M20" s="5">
        <v>45327</v>
      </c>
      <c r="N20" s="6">
        <v>3599.96</v>
      </c>
    </row>
    <row r="21" spans="1:14" hidden="1">
      <c r="A21" s="4" t="s">
        <v>96</v>
      </c>
      <c r="B21" s="5">
        <v>45410</v>
      </c>
      <c r="C21" s="4" t="s">
        <v>97</v>
      </c>
      <c r="D21" s="4" t="s">
        <v>98</v>
      </c>
      <c r="E21" s="4" t="s">
        <v>29</v>
      </c>
      <c r="F21" s="4" t="s">
        <v>30</v>
      </c>
      <c r="G21" s="4" t="s">
        <v>6</v>
      </c>
      <c r="H21" s="4">
        <v>3</v>
      </c>
      <c r="I21" s="6">
        <v>249.99</v>
      </c>
      <c r="J21" s="4" t="s">
        <v>36</v>
      </c>
      <c r="K21" s="4" t="s">
        <v>11</v>
      </c>
      <c r="L21" s="4" t="s">
        <v>37</v>
      </c>
      <c r="M21" s="5">
        <v>45224</v>
      </c>
      <c r="N21" s="6">
        <v>749.97</v>
      </c>
    </row>
    <row r="22" spans="1:14" hidden="1">
      <c r="A22" s="4" t="s">
        <v>99</v>
      </c>
      <c r="B22" s="5">
        <v>45412</v>
      </c>
      <c r="C22" s="4" t="s">
        <v>100</v>
      </c>
      <c r="D22" s="4" t="s">
        <v>101</v>
      </c>
      <c r="E22" s="4" t="s">
        <v>84</v>
      </c>
      <c r="F22" s="4" t="s">
        <v>85</v>
      </c>
      <c r="G22" s="4" t="s">
        <v>6</v>
      </c>
      <c r="H22" s="4">
        <v>5</v>
      </c>
      <c r="I22" s="6">
        <v>699.99</v>
      </c>
      <c r="J22" s="4" t="s">
        <v>31</v>
      </c>
      <c r="K22" s="4" t="s">
        <v>13</v>
      </c>
      <c r="L22" s="4" t="s">
        <v>32</v>
      </c>
      <c r="M22" s="5">
        <v>45167</v>
      </c>
      <c r="N22" s="6">
        <v>3499.95</v>
      </c>
    </row>
    <row r="23" spans="1:14">
      <c r="A23" s="4" t="s">
        <v>102</v>
      </c>
      <c r="B23" s="5">
        <v>45413</v>
      </c>
      <c r="C23" s="4" t="s">
        <v>103</v>
      </c>
      <c r="D23" s="4" t="s">
        <v>104</v>
      </c>
      <c r="E23" s="4" t="s">
        <v>84</v>
      </c>
      <c r="F23" s="4" t="s">
        <v>85</v>
      </c>
      <c r="G23" s="4" t="s">
        <v>6</v>
      </c>
      <c r="H23" s="4">
        <v>4</v>
      </c>
      <c r="I23" s="6">
        <v>699.99</v>
      </c>
      <c r="J23" s="4" t="s">
        <v>31</v>
      </c>
      <c r="K23" s="4" t="s">
        <v>10</v>
      </c>
      <c r="L23" s="4" t="s">
        <v>44</v>
      </c>
      <c r="M23" s="5">
        <v>44409</v>
      </c>
      <c r="N23" s="6">
        <v>2799.96</v>
      </c>
    </row>
    <row r="24" spans="1:14" hidden="1">
      <c r="A24" s="4" t="s">
        <v>105</v>
      </c>
      <c r="B24" s="5">
        <v>45415</v>
      </c>
      <c r="C24" s="4" t="s">
        <v>106</v>
      </c>
      <c r="D24" s="4" t="s">
        <v>107</v>
      </c>
      <c r="E24" s="4" t="s">
        <v>29</v>
      </c>
      <c r="F24" s="4" t="s">
        <v>30</v>
      </c>
      <c r="G24" s="4" t="s">
        <v>6</v>
      </c>
      <c r="H24" s="4">
        <v>4</v>
      </c>
      <c r="I24" s="6">
        <v>249.99</v>
      </c>
      <c r="J24" s="4" t="s">
        <v>43</v>
      </c>
      <c r="K24" s="4" t="s">
        <v>11</v>
      </c>
      <c r="L24" s="4" t="s">
        <v>44</v>
      </c>
      <c r="M24" s="5">
        <v>44468</v>
      </c>
      <c r="N24" s="6">
        <v>999.96</v>
      </c>
    </row>
    <row r="25" spans="1:14" hidden="1">
      <c r="A25" s="4" t="s">
        <v>108</v>
      </c>
      <c r="B25" s="5">
        <v>45416</v>
      </c>
      <c r="C25" s="4" t="s">
        <v>90</v>
      </c>
      <c r="D25" s="4" t="s">
        <v>91</v>
      </c>
      <c r="E25" s="4" t="s">
        <v>109</v>
      </c>
      <c r="F25" s="4" t="s">
        <v>110</v>
      </c>
      <c r="G25" s="4" t="s">
        <v>7</v>
      </c>
      <c r="H25" s="4">
        <v>4</v>
      </c>
      <c r="I25" s="6">
        <v>299.99</v>
      </c>
      <c r="J25" s="4" t="s">
        <v>31</v>
      </c>
      <c r="K25" s="4" t="s">
        <v>13</v>
      </c>
      <c r="L25" s="4" t="s">
        <v>37</v>
      </c>
      <c r="M25" s="5">
        <v>44716</v>
      </c>
      <c r="N25" s="6">
        <v>1199.96</v>
      </c>
    </row>
    <row r="26" spans="1:14" hidden="1">
      <c r="A26" s="4" t="s">
        <v>111</v>
      </c>
      <c r="B26" s="5">
        <v>45422</v>
      </c>
      <c r="C26" s="4" t="s">
        <v>112</v>
      </c>
      <c r="D26" s="4" t="s">
        <v>113</v>
      </c>
      <c r="E26" s="4" t="s">
        <v>29</v>
      </c>
      <c r="F26" s="4" t="s">
        <v>30</v>
      </c>
      <c r="G26" s="4" t="s">
        <v>6</v>
      </c>
      <c r="H26" s="4">
        <v>5</v>
      </c>
      <c r="I26" s="6">
        <v>249.99</v>
      </c>
      <c r="J26" s="4" t="s">
        <v>36</v>
      </c>
      <c r="K26" s="4" t="s">
        <v>13</v>
      </c>
      <c r="L26" s="4" t="s">
        <v>44</v>
      </c>
      <c r="M26" s="5">
        <v>44525</v>
      </c>
      <c r="N26" s="6">
        <v>1249.95</v>
      </c>
    </row>
    <row r="27" spans="1:14" hidden="1">
      <c r="A27" s="4" t="s">
        <v>114</v>
      </c>
      <c r="B27" s="5">
        <v>45424</v>
      </c>
      <c r="C27" s="4" t="s">
        <v>72</v>
      </c>
      <c r="D27" s="4" t="s">
        <v>73</v>
      </c>
      <c r="E27" s="4" t="s">
        <v>109</v>
      </c>
      <c r="F27" s="4" t="s">
        <v>110</v>
      </c>
      <c r="G27" s="4" t="s">
        <v>7</v>
      </c>
      <c r="H27" s="4">
        <v>5</v>
      </c>
      <c r="I27" s="6">
        <v>299.99</v>
      </c>
      <c r="J27" s="4" t="s">
        <v>43</v>
      </c>
      <c r="K27" s="4" t="s">
        <v>10</v>
      </c>
      <c r="L27" s="4" t="s">
        <v>32</v>
      </c>
      <c r="M27" s="5">
        <v>45168</v>
      </c>
      <c r="N27" s="6">
        <v>1499.95</v>
      </c>
    </row>
    <row r="28" spans="1:14" hidden="1">
      <c r="A28" s="4" t="s">
        <v>115</v>
      </c>
      <c r="B28" s="5">
        <v>45424</v>
      </c>
      <c r="C28" s="4" t="s">
        <v>116</v>
      </c>
      <c r="D28" s="4" t="s">
        <v>117</v>
      </c>
      <c r="E28" s="4" t="s">
        <v>118</v>
      </c>
      <c r="F28" s="4" t="s">
        <v>119</v>
      </c>
      <c r="G28" s="4" t="s">
        <v>5</v>
      </c>
      <c r="H28" s="4">
        <v>3</v>
      </c>
      <c r="I28" s="6">
        <v>79.989999999999995</v>
      </c>
      <c r="J28" s="4" t="s">
        <v>43</v>
      </c>
      <c r="K28" s="4" t="s">
        <v>10</v>
      </c>
      <c r="L28" s="4" t="s">
        <v>37</v>
      </c>
      <c r="M28" s="5">
        <v>45012</v>
      </c>
      <c r="N28" s="6">
        <v>239.97</v>
      </c>
    </row>
    <row r="29" spans="1:14" hidden="1">
      <c r="A29" s="4" t="s">
        <v>120</v>
      </c>
      <c r="B29" s="5">
        <v>45424</v>
      </c>
      <c r="C29" s="4" t="s">
        <v>103</v>
      </c>
      <c r="D29" s="4" t="s">
        <v>104</v>
      </c>
      <c r="E29" s="4" t="s">
        <v>121</v>
      </c>
      <c r="F29" s="4" t="s">
        <v>122</v>
      </c>
      <c r="G29" s="4" t="s">
        <v>6</v>
      </c>
      <c r="H29" s="4">
        <v>5</v>
      </c>
      <c r="I29" s="6">
        <v>89.99</v>
      </c>
      <c r="J29" s="4" t="s">
        <v>31</v>
      </c>
      <c r="K29" s="4" t="s">
        <v>11</v>
      </c>
      <c r="L29" s="4" t="s">
        <v>37</v>
      </c>
      <c r="M29" s="5">
        <v>44919</v>
      </c>
      <c r="N29" s="6">
        <v>449.95</v>
      </c>
    </row>
    <row r="30" spans="1:14" hidden="1">
      <c r="A30" s="4" t="s">
        <v>123</v>
      </c>
      <c r="B30" s="5">
        <v>45425</v>
      </c>
      <c r="C30" s="4" t="s">
        <v>124</v>
      </c>
      <c r="D30" s="4" t="s">
        <v>125</v>
      </c>
      <c r="E30" s="4" t="s">
        <v>41</v>
      </c>
      <c r="F30" s="4" t="s">
        <v>42</v>
      </c>
      <c r="G30" s="4" t="s">
        <v>5</v>
      </c>
      <c r="H30" s="4">
        <v>2</v>
      </c>
      <c r="I30" s="6">
        <v>59.99</v>
      </c>
      <c r="J30" s="4" t="s">
        <v>62</v>
      </c>
      <c r="K30" s="4" t="s">
        <v>9</v>
      </c>
      <c r="L30" s="4" t="s">
        <v>44</v>
      </c>
      <c r="M30" s="5">
        <v>45214</v>
      </c>
      <c r="N30" s="6">
        <v>119.98</v>
      </c>
    </row>
    <row r="31" spans="1:14" hidden="1">
      <c r="A31" s="4" t="s">
        <v>126</v>
      </c>
      <c r="B31" s="5">
        <v>45427</v>
      </c>
      <c r="C31" s="4" t="s">
        <v>127</v>
      </c>
      <c r="D31" s="4" t="s">
        <v>128</v>
      </c>
      <c r="E31" s="4" t="s">
        <v>41</v>
      </c>
      <c r="F31" s="4" t="s">
        <v>42</v>
      </c>
      <c r="G31" s="4" t="s">
        <v>5</v>
      </c>
      <c r="H31" s="4">
        <v>4</v>
      </c>
      <c r="I31" s="6">
        <v>59.99</v>
      </c>
      <c r="J31" s="4" t="s">
        <v>62</v>
      </c>
      <c r="K31" s="4" t="s">
        <v>10</v>
      </c>
      <c r="L31" s="4" t="s">
        <v>44</v>
      </c>
      <c r="M31" s="5">
        <v>44867</v>
      </c>
      <c r="N31" s="6">
        <v>239.96</v>
      </c>
    </row>
    <row r="32" spans="1:14" hidden="1">
      <c r="A32" s="4" t="s">
        <v>129</v>
      </c>
      <c r="B32" s="5">
        <v>45427</v>
      </c>
      <c r="C32" s="4" t="s">
        <v>60</v>
      </c>
      <c r="D32" s="4" t="s">
        <v>61</v>
      </c>
      <c r="E32" s="4" t="s">
        <v>130</v>
      </c>
      <c r="F32" s="4" t="s">
        <v>131</v>
      </c>
      <c r="G32" s="4" t="s">
        <v>7</v>
      </c>
      <c r="H32" s="4">
        <v>5</v>
      </c>
      <c r="I32" s="6">
        <v>199.99</v>
      </c>
      <c r="J32" s="4" t="s">
        <v>31</v>
      </c>
      <c r="K32" s="4" t="s">
        <v>12</v>
      </c>
      <c r="L32" s="4" t="s">
        <v>44</v>
      </c>
      <c r="M32" s="5">
        <v>44412</v>
      </c>
      <c r="N32" s="6">
        <v>999.95</v>
      </c>
    </row>
    <row r="33" spans="1:14" hidden="1">
      <c r="A33" s="4" t="s">
        <v>132</v>
      </c>
      <c r="B33" s="5">
        <v>45428</v>
      </c>
      <c r="C33" s="4" t="s">
        <v>133</v>
      </c>
      <c r="D33" s="4" t="s">
        <v>134</v>
      </c>
      <c r="E33" s="4" t="s">
        <v>51</v>
      </c>
      <c r="F33" s="4" t="s">
        <v>52</v>
      </c>
      <c r="G33" s="4" t="s">
        <v>7</v>
      </c>
      <c r="H33" s="4">
        <v>2</v>
      </c>
      <c r="I33" s="6">
        <v>149.99</v>
      </c>
      <c r="J33" s="4" t="s">
        <v>36</v>
      </c>
      <c r="K33" s="4" t="s">
        <v>13</v>
      </c>
      <c r="L33" s="4" t="s">
        <v>32</v>
      </c>
      <c r="M33" s="5">
        <v>44823</v>
      </c>
      <c r="N33" s="6">
        <v>299.98</v>
      </c>
    </row>
    <row r="34" spans="1:14" hidden="1">
      <c r="A34" s="4" t="s">
        <v>135</v>
      </c>
      <c r="B34" s="5">
        <v>45430</v>
      </c>
      <c r="C34" s="4" t="s">
        <v>136</v>
      </c>
      <c r="D34" s="4" t="s">
        <v>137</v>
      </c>
      <c r="E34" s="4" t="s">
        <v>51</v>
      </c>
      <c r="F34" s="4" t="s">
        <v>52</v>
      </c>
      <c r="G34" s="4" t="s">
        <v>7</v>
      </c>
      <c r="H34" s="4">
        <v>3</v>
      </c>
      <c r="I34" s="6">
        <v>149.99</v>
      </c>
      <c r="J34" s="4" t="s">
        <v>36</v>
      </c>
      <c r="K34" s="4" t="s">
        <v>13</v>
      </c>
      <c r="L34" s="4" t="s">
        <v>37</v>
      </c>
      <c r="M34" s="5">
        <v>45068</v>
      </c>
      <c r="N34" s="6">
        <v>449.97</v>
      </c>
    </row>
    <row r="35" spans="1:14" hidden="1">
      <c r="A35" s="4" t="s">
        <v>138</v>
      </c>
      <c r="B35" s="5">
        <v>45432</v>
      </c>
      <c r="C35" s="4" t="s">
        <v>39</v>
      </c>
      <c r="D35" s="4" t="s">
        <v>40</v>
      </c>
      <c r="E35" s="4" t="s">
        <v>66</v>
      </c>
      <c r="F35" s="4" t="s">
        <v>67</v>
      </c>
      <c r="G35" s="4" t="s">
        <v>6</v>
      </c>
      <c r="H35" s="4">
        <v>1</v>
      </c>
      <c r="I35" s="6">
        <v>899.99</v>
      </c>
      <c r="J35" s="4" t="s">
        <v>36</v>
      </c>
      <c r="K35" s="4" t="s">
        <v>13</v>
      </c>
      <c r="L35" s="4" t="s">
        <v>37</v>
      </c>
      <c r="M35" s="5">
        <v>44578</v>
      </c>
      <c r="N35" s="6">
        <v>899.99</v>
      </c>
    </row>
    <row r="36" spans="1:14" hidden="1">
      <c r="A36" s="4" t="s">
        <v>139</v>
      </c>
      <c r="B36" s="5">
        <v>45434</v>
      </c>
      <c r="C36" s="4" t="s">
        <v>103</v>
      </c>
      <c r="D36" s="4" t="s">
        <v>104</v>
      </c>
      <c r="E36" s="4" t="s">
        <v>109</v>
      </c>
      <c r="F36" s="4" t="s">
        <v>110</v>
      </c>
      <c r="G36" s="4" t="s">
        <v>7</v>
      </c>
      <c r="H36" s="4">
        <v>3</v>
      </c>
      <c r="I36" s="6">
        <v>299.99</v>
      </c>
      <c r="J36" s="4" t="s">
        <v>36</v>
      </c>
      <c r="K36" s="4" t="s">
        <v>10</v>
      </c>
      <c r="L36" s="4" t="s">
        <v>32</v>
      </c>
      <c r="M36" s="5">
        <v>44824</v>
      </c>
      <c r="N36" s="6">
        <v>899.97</v>
      </c>
    </row>
    <row r="37" spans="1:14" hidden="1">
      <c r="A37" s="4" t="s">
        <v>140</v>
      </c>
      <c r="B37" s="5">
        <v>45435</v>
      </c>
      <c r="C37" s="4" t="s">
        <v>133</v>
      </c>
      <c r="D37" s="4" t="s">
        <v>134</v>
      </c>
      <c r="E37" s="4" t="s">
        <v>118</v>
      </c>
      <c r="F37" s="4" t="s">
        <v>119</v>
      </c>
      <c r="G37" s="4" t="s">
        <v>5</v>
      </c>
      <c r="H37" s="4">
        <v>3</v>
      </c>
      <c r="I37" s="6">
        <v>79.989999999999995</v>
      </c>
      <c r="J37" s="4" t="s">
        <v>31</v>
      </c>
      <c r="K37" s="4" t="s">
        <v>12</v>
      </c>
      <c r="L37" s="4" t="s">
        <v>32</v>
      </c>
      <c r="M37" s="5">
        <v>45046</v>
      </c>
      <c r="N37" s="6">
        <v>239.97</v>
      </c>
    </row>
    <row r="38" spans="1:14" hidden="1">
      <c r="A38" s="4" t="s">
        <v>141</v>
      </c>
      <c r="B38" s="5">
        <v>45438</v>
      </c>
      <c r="C38" s="4" t="s">
        <v>142</v>
      </c>
      <c r="D38" s="4" t="s">
        <v>143</v>
      </c>
      <c r="E38" s="4" t="s">
        <v>130</v>
      </c>
      <c r="F38" s="4" t="s">
        <v>131</v>
      </c>
      <c r="G38" s="4" t="s">
        <v>7</v>
      </c>
      <c r="H38" s="4">
        <v>3</v>
      </c>
      <c r="I38" s="6">
        <v>199.99</v>
      </c>
      <c r="J38" s="4" t="s">
        <v>36</v>
      </c>
      <c r="K38" s="4" t="s">
        <v>11</v>
      </c>
      <c r="L38" s="4" t="s">
        <v>37</v>
      </c>
      <c r="M38" s="5">
        <v>45292</v>
      </c>
      <c r="N38" s="6">
        <v>599.97</v>
      </c>
    </row>
    <row r="39" spans="1:14" hidden="1">
      <c r="A39" s="4" t="s">
        <v>144</v>
      </c>
      <c r="B39" s="5">
        <v>45440</v>
      </c>
      <c r="C39" s="4" t="s">
        <v>145</v>
      </c>
      <c r="D39" s="4" t="s">
        <v>146</v>
      </c>
      <c r="E39" s="4" t="s">
        <v>84</v>
      </c>
      <c r="F39" s="4" t="s">
        <v>85</v>
      </c>
      <c r="G39" s="4" t="s">
        <v>6</v>
      </c>
      <c r="H39" s="4">
        <v>5</v>
      </c>
      <c r="I39" s="6">
        <v>699.99</v>
      </c>
      <c r="J39" s="4" t="s">
        <v>43</v>
      </c>
      <c r="K39" s="4" t="s">
        <v>13</v>
      </c>
      <c r="L39" s="4" t="s">
        <v>44</v>
      </c>
      <c r="M39" s="5">
        <v>44407</v>
      </c>
      <c r="N39" s="6">
        <v>3499.95</v>
      </c>
    </row>
    <row r="40" spans="1:14" hidden="1">
      <c r="A40" s="4" t="s">
        <v>147</v>
      </c>
      <c r="B40" s="5">
        <v>45441</v>
      </c>
      <c r="C40" s="4" t="s">
        <v>148</v>
      </c>
      <c r="D40" s="4" t="s">
        <v>149</v>
      </c>
      <c r="E40" s="4" t="s">
        <v>121</v>
      </c>
      <c r="F40" s="4" t="s">
        <v>122</v>
      </c>
      <c r="G40" s="4" t="s">
        <v>6</v>
      </c>
      <c r="H40" s="4">
        <v>3</v>
      </c>
      <c r="I40" s="6">
        <v>89.99</v>
      </c>
      <c r="J40" s="4" t="s">
        <v>43</v>
      </c>
      <c r="K40" s="4" t="s">
        <v>9</v>
      </c>
      <c r="L40" s="4" t="s">
        <v>37</v>
      </c>
      <c r="M40" s="5">
        <v>45120</v>
      </c>
      <c r="N40" s="6">
        <v>269.97000000000003</v>
      </c>
    </row>
    <row r="41" spans="1:14" hidden="1">
      <c r="A41" s="4" t="s">
        <v>150</v>
      </c>
      <c r="B41" s="5">
        <v>45443</v>
      </c>
      <c r="C41" s="4" t="s">
        <v>151</v>
      </c>
      <c r="D41" s="4" t="s">
        <v>152</v>
      </c>
      <c r="E41" s="4" t="s">
        <v>118</v>
      </c>
      <c r="F41" s="4" t="s">
        <v>119</v>
      </c>
      <c r="G41" s="4" t="s">
        <v>5</v>
      </c>
      <c r="H41" s="4">
        <v>1</v>
      </c>
      <c r="I41" s="6">
        <v>79.989999999999995</v>
      </c>
      <c r="J41" s="4" t="s">
        <v>31</v>
      </c>
      <c r="K41" s="4" t="s">
        <v>11</v>
      </c>
      <c r="L41" s="4" t="s">
        <v>44</v>
      </c>
      <c r="M41" s="5">
        <v>44917</v>
      </c>
      <c r="N41" s="6">
        <v>79.989999999999995</v>
      </c>
    </row>
    <row r="42" spans="1:14" hidden="1">
      <c r="A42" s="4" t="s">
        <v>153</v>
      </c>
      <c r="B42" s="5">
        <v>45444</v>
      </c>
      <c r="C42" s="4" t="s">
        <v>154</v>
      </c>
      <c r="D42" s="4" t="s">
        <v>155</v>
      </c>
      <c r="E42" s="4" t="s">
        <v>41</v>
      </c>
      <c r="F42" s="4" t="s">
        <v>42</v>
      </c>
      <c r="G42" s="4" t="s">
        <v>5</v>
      </c>
      <c r="H42" s="4">
        <v>2</v>
      </c>
      <c r="I42" s="6">
        <v>59.99</v>
      </c>
      <c r="J42" s="4" t="s">
        <v>31</v>
      </c>
      <c r="K42" s="4" t="s">
        <v>13</v>
      </c>
      <c r="L42" s="4" t="s">
        <v>32</v>
      </c>
      <c r="M42" s="5">
        <v>45390</v>
      </c>
      <c r="N42" s="6">
        <v>119.98</v>
      </c>
    </row>
    <row r="43" spans="1:14" hidden="1">
      <c r="A43" s="4" t="s">
        <v>156</v>
      </c>
      <c r="B43" s="5">
        <v>45444</v>
      </c>
      <c r="C43" s="4" t="s">
        <v>60</v>
      </c>
      <c r="D43" s="4" t="s">
        <v>61</v>
      </c>
      <c r="E43" s="4" t="s">
        <v>121</v>
      </c>
      <c r="F43" s="4" t="s">
        <v>122</v>
      </c>
      <c r="G43" s="4" t="s">
        <v>6</v>
      </c>
      <c r="H43" s="4">
        <v>1</v>
      </c>
      <c r="I43" s="6">
        <v>89.99</v>
      </c>
      <c r="J43" s="4" t="s">
        <v>31</v>
      </c>
      <c r="K43" s="4" t="s">
        <v>11</v>
      </c>
      <c r="L43" s="4" t="s">
        <v>32</v>
      </c>
      <c r="M43" s="5">
        <v>45141</v>
      </c>
      <c r="N43" s="6">
        <v>89.99</v>
      </c>
    </row>
    <row r="44" spans="1:14">
      <c r="A44" s="4" t="s">
        <v>157</v>
      </c>
      <c r="B44" s="5">
        <v>45446</v>
      </c>
      <c r="C44" s="4" t="s">
        <v>158</v>
      </c>
      <c r="D44" s="4" t="s">
        <v>159</v>
      </c>
      <c r="E44" s="4" t="s">
        <v>121</v>
      </c>
      <c r="F44" s="4" t="s">
        <v>122</v>
      </c>
      <c r="G44" s="4" t="s">
        <v>6</v>
      </c>
      <c r="H44" s="4">
        <v>5</v>
      </c>
      <c r="I44" s="6">
        <v>89.99</v>
      </c>
      <c r="J44" s="4" t="s">
        <v>36</v>
      </c>
      <c r="K44" s="4" t="s">
        <v>10</v>
      </c>
      <c r="L44" s="4" t="s">
        <v>44</v>
      </c>
      <c r="M44" s="5">
        <v>44587</v>
      </c>
      <c r="N44" s="6">
        <v>449.95</v>
      </c>
    </row>
    <row r="45" spans="1:14">
      <c r="A45" s="4" t="s">
        <v>160</v>
      </c>
      <c r="B45" s="5">
        <v>45449</v>
      </c>
      <c r="C45" s="4" t="s">
        <v>34</v>
      </c>
      <c r="D45" s="4" t="s">
        <v>35</v>
      </c>
      <c r="E45" s="4" t="s">
        <v>29</v>
      </c>
      <c r="F45" s="4" t="s">
        <v>30</v>
      </c>
      <c r="G45" s="4" t="s">
        <v>6</v>
      </c>
      <c r="H45" s="4">
        <v>5</v>
      </c>
      <c r="I45" s="6">
        <v>249.99</v>
      </c>
      <c r="J45" s="4" t="s">
        <v>36</v>
      </c>
      <c r="K45" s="4" t="s">
        <v>10</v>
      </c>
      <c r="L45" s="4" t="s">
        <v>44</v>
      </c>
      <c r="M45" s="5">
        <v>44707</v>
      </c>
      <c r="N45" s="6">
        <v>1249.95</v>
      </c>
    </row>
    <row r="46" spans="1:14" hidden="1">
      <c r="A46" s="4" t="s">
        <v>161</v>
      </c>
      <c r="B46" s="5">
        <v>45449</v>
      </c>
      <c r="C46" s="4" t="s">
        <v>162</v>
      </c>
      <c r="D46" s="4" t="s">
        <v>163</v>
      </c>
      <c r="E46" s="4" t="s">
        <v>121</v>
      </c>
      <c r="F46" s="4" t="s">
        <v>122</v>
      </c>
      <c r="G46" s="4" t="s">
        <v>6</v>
      </c>
      <c r="H46" s="4">
        <v>1</v>
      </c>
      <c r="I46" s="6">
        <v>89.99</v>
      </c>
      <c r="J46" s="4" t="s">
        <v>36</v>
      </c>
      <c r="K46" s="4" t="s">
        <v>12</v>
      </c>
      <c r="L46" s="4" t="s">
        <v>44</v>
      </c>
      <c r="M46" s="5">
        <v>44582</v>
      </c>
      <c r="N46" s="6">
        <v>89.99</v>
      </c>
    </row>
    <row r="47" spans="1:14" hidden="1">
      <c r="A47" s="4" t="s">
        <v>164</v>
      </c>
      <c r="B47" s="5">
        <v>45450</v>
      </c>
      <c r="C47" s="4" t="s">
        <v>49</v>
      </c>
      <c r="D47" s="4" t="s">
        <v>50</v>
      </c>
      <c r="E47" s="4" t="s">
        <v>51</v>
      </c>
      <c r="F47" s="4" t="s">
        <v>52</v>
      </c>
      <c r="G47" s="4" t="s">
        <v>7</v>
      </c>
      <c r="H47" s="4">
        <v>2</v>
      </c>
      <c r="I47" s="6">
        <v>149.99</v>
      </c>
      <c r="J47" s="4" t="s">
        <v>31</v>
      </c>
      <c r="K47" s="4" t="s">
        <v>10</v>
      </c>
      <c r="L47" s="4" t="s">
        <v>37</v>
      </c>
      <c r="M47" s="5">
        <v>44645</v>
      </c>
      <c r="N47" s="6">
        <v>299.98</v>
      </c>
    </row>
    <row r="48" spans="1:14" hidden="1">
      <c r="A48" s="4" t="s">
        <v>165</v>
      </c>
      <c r="B48" s="5">
        <v>45452</v>
      </c>
      <c r="C48" s="4" t="s">
        <v>166</v>
      </c>
      <c r="D48" s="4" t="s">
        <v>167</v>
      </c>
      <c r="E48" s="4" t="s">
        <v>41</v>
      </c>
      <c r="F48" s="4" t="s">
        <v>42</v>
      </c>
      <c r="G48" s="4" t="s">
        <v>5</v>
      </c>
      <c r="H48" s="4">
        <v>4</v>
      </c>
      <c r="I48" s="6">
        <v>59.99</v>
      </c>
      <c r="J48" s="4" t="s">
        <v>31</v>
      </c>
      <c r="K48" s="4" t="s">
        <v>10</v>
      </c>
      <c r="L48" s="4" t="s">
        <v>44</v>
      </c>
      <c r="M48" s="5">
        <v>44435</v>
      </c>
      <c r="N48" s="6">
        <v>239.96</v>
      </c>
    </row>
    <row r="49" spans="1:14" hidden="1">
      <c r="A49" s="4" t="s">
        <v>168</v>
      </c>
      <c r="B49" s="5">
        <v>45456</v>
      </c>
      <c r="C49" s="4" t="s">
        <v>133</v>
      </c>
      <c r="D49" s="4" t="s">
        <v>134</v>
      </c>
      <c r="E49" s="4" t="s">
        <v>121</v>
      </c>
      <c r="F49" s="4" t="s">
        <v>122</v>
      </c>
      <c r="G49" s="4" t="s">
        <v>6</v>
      </c>
      <c r="H49" s="4">
        <v>5</v>
      </c>
      <c r="I49" s="6">
        <v>89.99</v>
      </c>
      <c r="J49" s="4" t="s">
        <v>31</v>
      </c>
      <c r="K49" s="4" t="s">
        <v>9</v>
      </c>
      <c r="L49" s="4" t="s">
        <v>37</v>
      </c>
      <c r="M49" s="5">
        <v>44579</v>
      </c>
      <c r="N49" s="6">
        <v>449.95</v>
      </c>
    </row>
    <row r="50" spans="1:14" hidden="1">
      <c r="A50" s="4" t="s">
        <v>169</v>
      </c>
      <c r="B50" s="5">
        <v>45459</v>
      </c>
      <c r="C50" s="4" t="s">
        <v>103</v>
      </c>
      <c r="D50" s="4" t="s">
        <v>104</v>
      </c>
      <c r="E50" s="4" t="s">
        <v>121</v>
      </c>
      <c r="F50" s="4" t="s">
        <v>122</v>
      </c>
      <c r="G50" s="4" t="s">
        <v>6</v>
      </c>
      <c r="H50" s="4">
        <v>2</v>
      </c>
      <c r="I50" s="6">
        <v>89.99</v>
      </c>
      <c r="J50" s="4" t="s">
        <v>36</v>
      </c>
      <c r="K50" s="4" t="s">
        <v>12</v>
      </c>
      <c r="L50" s="4" t="s">
        <v>37</v>
      </c>
      <c r="M50" s="5">
        <v>44471</v>
      </c>
      <c r="N50" s="6">
        <v>179.98</v>
      </c>
    </row>
    <row r="51" spans="1:14" hidden="1">
      <c r="A51" s="4" t="s">
        <v>170</v>
      </c>
      <c r="B51" s="5">
        <v>45459</v>
      </c>
      <c r="C51" s="4" t="s">
        <v>27</v>
      </c>
      <c r="D51" s="4" t="s">
        <v>28</v>
      </c>
      <c r="E51" s="4" t="s">
        <v>66</v>
      </c>
      <c r="F51" s="4" t="s">
        <v>67</v>
      </c>
      <c r="G51" s="4" t="s">
        <v>6</v>
      </c>
      <c r="H51" s="4">
        <v>5</v>
      </c>
      <c r="I51" s="6">
        <v>899.99</v>
      </c>
      <c r="J51" s="4" t="s">
        <v>36</v>
      </c>
      <c r="K51" s="4" t="s">
        <v>12</v>
      </c>
      <c r="L51" s="4" t="s">
        <v>44</v>
      </c>
      <c r="M51" s="5">
        <v>44974</v>
      </c>
      <c r="N51" s="6">
        <v>4499.95</v>
      </c>
    </row>
    <row r="52" spans="1:14">
      <c r="A52" s="4" t="s">
        <v>171</v>
      </c>
      <c r="B52" s="5">
        <v>45459</v>
      </c>
      <c r="C52" s="4" t="s">
        <v>127</v>
      </c>
      <c r="D52" s="4" t="s">
        <v>128</v>
      </c>
      <c r="E52" s="4" t="s">
        <v>66</v>
      </c>
      <c r="F52" s="4" t="s">
        <v>67</v>
      </c>
      <c r="G52" s="4" t="s">
        <v>6</v>
      </c>
      <c r="H52" s="4">
        <v>5</v>
      </c>
      <c r="I52" s="6">
        <v>899.99</v>
      </c>
      <c r="J52" s="4" t="s">
        <v>43</v>
      </c>
      <c r="K52" s="4" t="s">
        <v>10</v>
      </c>
      <c r="L52" s="4" t="s">
        <v>37</v>
      </c>
      <c r="M52" s="5">
        <v>45278</v>
      </c>
      <c r="N52" s="6">
        <v>4499.95</v>
      </c>
    </row>
    <row r="53" spans="1:14" hidden="1">
      <c r="A53" s="4" t="s">
        <v>172</v>
      </c>
      <c r="B53" s="5">
        <v>45460</v>
      </c>
      <c r="C53" s="4" t="s">
        <v>162</v>
      </c>
      <c r="D53" s="4" t="s">
        <v>163</v>
      </c>
      <c r="E53" s="4" t="s">
        <v>41</v>
      </c>
      <c r="F53" s="4" t="s">
        <v>42</v>
      </c>
      <c r="G53" s="4" t="s">
        <v>5</v>
      </c>
      <c r="H53" s="4">
        <v>1</v>
      </c>
      <c r="I53" s="6">
        <v>59.99</v>
      </c>
      <c r="J53" s="4" t="s">
        <v>62</v>
      </c>
      <c r="K53" s="4" t="s">
        <v>13</v>
      </c>
      <c r="L53" s="4" t="s">
        <v>37</v>
      </c>
      <c r="M53" s="5">
        <v>45190</v>
      </c>
      <c r="N53" s="6">
        <v>59.99</v>
      </c>
    </row>
    <row r="54" spans="1:14" hidden="1">
      <c r="A54" s="4" t="s">
        <v>173</v>
      </c>
      <c r="B54" s="5">
        <v>45460</v>
      </c>
      <c r="C54" s="4" t="s">
        <v>145</v>
      </c>
      <c r="D54" s="4" t="s">
        <v>146</v>
      </c>
      <c r="E54" s="4" t="s">
        <v>109</v>
      </c>
      <c r="F54" s="4" t="s">
        <v>110</v>
      </c>
      <c r="G54" s="4" t="s">
        <v>7</v>
      </c>
      <c r="H54" s="4">
        <v>2</v>
      </c>
      <c r="I54" s="6">
        <v>299.99</v>
      </c>
      <c r="J54" s="4" t="s">
        <v>62</v>
      </c>
      <c r="K54" s="4" t="s">
        <v>10</v>
      </c>
      <c r="L54" s="4" t="s">
        <v>44</v>
      </c>
      <c r="M54" s="5">
        <v>45253</v>
      </c>
      <c r="N54" s="6">
        <v>599.98</v>
      </c>
    </row>
    <row r="55" spans="1:14" hidden="1">
      <c r="A55" s="4" t="s">
        <v>174</v>
      </c>
      <c r="B55" s="5">
        <v>45468</v>
      </c>
      <c r="C55" s="4" t="s">
        <v>175</v>
      </c>
      <c r="D55" s="4" t="s">
        <v>176</v>
      </c>
      <c r="E55" s="4" t="s">
        <v>121</v>
      </c>
      <c r="F55" s="4" t="s">
        <v>122</v>
      </c>
      <c r="G55" s="4" t="s">
        <v>6</v>
      </c>
      <c r="H55" s="4">
        <v>4</v>
      </c>
      <c r="I55" s="6">
        <v>89.99</v>
      </c>
      <c r="J55" s="4" t="s">
        <v>62</v>
      </c>
      <c r="K55" s="4" t="s">
        <v>12</v>
      </c>
      <c r="L55" s="4" t="s">
        <v>32</v>
      </c>
      <c r="M55" s="5">
        <v>45281</v>
      </c>
      <c r="N55" s="6">
        <v>359.96</v>
      </c>
    </row>
    <row r="56" spans="1:14" hidden="1">
      <c r="A56" s="4" t="s">
        <v>177</v>
      </c>
      <c r="B56" s="5">
        <v>45469</v>
      </c>
      <c r="C56" s="4" t="s">
        <v>39</v>
      </c>
      <c r="D56" s="4" t="s">
        <v>40</v>
      </c>
      <c r="E56" s="4" t="s">
        <v>118</v>
      </c>
      <c r="F56" s="4" t="s">
        <v>119</v>
      </c>
      <c r="G56" s="4" t="s">
        <v>5</v>
      </c>
      <c r="H56" s="4">
        <v>1</v>
      </c>
      <c r="I56" s="6">
        <v>79.989999999999995</v>
      </c>
      <c r="J56" s="4" t="s">
        <v>43</v>
      </c>
      <c r="K56" s="4" t="s">
        <v>9</v>
      </c>
      <c r="L56" s="4" t="s">
        <v>37</v>
      </c>
      <c r="M56" s="5">
        <v>45352</v>
      </c>
      <c r="N56" s="6">
        <v>79.989999999999995</v>
      </c>
    </row>
    <row r="57" spans="1:14" hidden="1">
      <c r="A57" s="4" t="s">
        <v>178</v>
      </c>
      <c r="B57" s="5">
        <v>45469</v>
      </c>
      <c r="C57" s="4" t="s">
        <v>64</v>
      </c>
      <c r="D57" s="4" t="s">
        <v>65</v>
      </c>
      <c r="E57" s="4" t="s">
        <v>121</v>
      </c>
      <c r="F57" s="4" t="s">
        <v>122</v>
      </c>
      <c r="G57" s="4" t="s">
        <v>6</v>
      </c>
      <c r="H57" s="4">
        <v>2</v>
      </c>
      <c r="I57" s="6">
        <v>89.99</v>
      </c>
      <c r="J57" s="4" t="s">
        <v>31</v>
      </c>
      <c r="K57" s="4" t="s">
        <v>13</v>
      </c>
      <c r="L57" s="4" t="s">
        <v>32</v>
      </c>
      <c r="M57" s="5">
        <v>44438</v>
      </c>
      <c r="N57" s="6">
        <v>179.98</v>
      </c>
    </row>
    <row r="58" spans="1:14">
      <c r="A58" s="4" t="s">
        <v>179</v>
      </c>
      <c r="B58" s="5">
        <v>45471</v>
      </c>
      <c r="C58" s="4" t="s">
        <v>46</v>
      </c>
      <c r="D58" s="4" t="s">
        <v>47</v>
      </c>
      <c r="E58" s="4" t="s">
        <v>84</v>
      </c>
      <c r="F58" s="4" t="s">
        <v>85</v>
      </c>
      <c r="G58" s="4" t="s">
        <v>6</v>
      </c>
      <c r="H58" s="4">
        <v>3</v>
      </c>
      <c r="I58" s="6">
        <v>699.99</v>
      </c>
      <c r="J58" s="4" t="s">
        <v>36</v>
      </c>
      <c r="K58" s="4" t="s">
        <v>10</v>
      </c>
      <c r="L58" s="4" t="s">
        <v>37</v>
      </c>
      <c r="M58" s="5">
        <v>45102</v>
      </c>
      <c r="N58" s="6">
        <v>2099.9699999999998</v>
      </c>
    </row>
    <row r="59" spans="1:14">
      <c r="A59" s="4" t="s">
        <v>180</v>
      </c>
      <c r="B59" s="5">
        <v>45471</v>
      </c>
      <c r="C59" s="4" t="s">
        <v>103</v>
      </c>
      <c r="D59" s="4" t="s">
        <v>104</v>
      </c>
      <c r="E59" s="4" t="s">
        <v>66</v>
      </c>
      <c r="F59" s="4" t="s">
        <v>67</v>
      </c>
      <c r="G59" s="4" t="s">
        <v>6</v>
      </c>
      <c r="H59" s="4">
        <v>4</v>
      </c>
      <c r="I59" s="6">
        <v>899.99</v>
      </c>
      <c r="J59" s="4" t="s">
        <v>36</v>
      </c>
      <c r="K59" s="4" t="s">
        <v>10</v>
      </c>
      <c r="L59" s="4" t="s">
        <v>37</v>
      </c>
      <c r="M59" s="5">
        <v>44993</v>
      </c>
      <c r="N59" s="6">
        <v>3599.96</v>
      </c>
    </row>
    <row r="60" spans="1:14" hidden="1">
      <c r="A60" s="4" t="s">
        <v>181</v>
      </c>
      <c r="B60" s="5">
        <v>45472</v>
      </c>
      <c r="C60" s="4" t="s">
        <v>124</v>
      </c>
      <c r="D60" s="4" t="s">
        <v>125</v>
      </c>
      <c r="E60" s="4" t="s">
        <v>51</v>
      </c>
      <c r="F60" s="4" t="s">
        <v>52</v>
      </c>
      <c r="G60" s="4" t="s">
        <v>7</v>
      </c>
      <c r="H60" s="4">
        <v>1</v>
      </c>
      <c r="I60" s="6">
        <v>149.99</v>
      </c>
      <c r="J60" s="4" t="s">
        <v>43</v>
      </c>
      <c r="K60" s="4" t="s">
        <v>10</v>
      </c>
      <c r="L60" s="4" t="s">
        <v>32</v>
      </c>
      <c r="M60" s="5">
        <v>44851</v>
      </c>
      <c r="N60" s="6">
        <v>149.99</v>
      </c>
    </row>
    <row r="61" spans="1:14" hidden="1">
      <c r="A61" s="4" t="s">
        <v>182</v>
      </c>
      <c r="B61" s="5">
        <v>45474</v>
      </c>
      <c r="C61" s="4" t="s">
        <v>136</v>
      </c>
      <c r="D61" s="4" t="s">
        <v>137</v>
      </c>
      <c r="E61" s="4" t="s">
        <v>121</v>
      </c>
      <c r="F61" s="4" t="s">
        <v>122</v>
      </c>
      <c r="G61" s="4" t="s">
        <v>6</v>
      </c>
      <c r="H61" s="4">
        <v>2</v>
      </c>
      <c r="I61" s="6">
        <v>89.99</v>
      </c>
      <c r="J61" s="4" t="s">
        <v>43</v>
      </c>
      <c r="K61" s="4" t="s">
        <v>9</v>
      </c>
      <c r="L61" s="4" t="s">
        <v>37</v>
      </c>
      <c r="M61" s="5">
        <v>45275</v>
      </c>
      <c r="N61" s="6">
        <v>179.98</v>
      </c>
    </row>
    <row r="62" spans="1:14" hidden="1">
      <c r="A62" s="4" t="s">
        <v>183</v>
      </c>
      <c r="B62" s="5">
        <v>45475</v>
      </c>
      <c r="C62" s="4" t="s">
        <v>60</v>
      </c>
      <c r="D62" s="4" t="s">
        <v>61</v>
      </c>
      <c r="E62" s="4" t="s">
        <v>121</v>
      </c>
      <c r="F62" s="4" t="s">
        <v>122</v>
      </c>
      <c r="G62" s="4" t="s">
        <v>6</v>
      </c>
      <c r="H62" s="4">
        <v>1</v>
      </c>
      <c r="I62" s="6">
        <v>89.99</v>
      </c>
      <c r="J62" s="4" t="s">
        <v>43</v>
      </c>
      <c r="K62" s="4" t="s">
        <v>13</v>
      </c>
      <c r="L62" s="4" t="s">
        <v>44</v>
      </c>
      <c r="M62" s="5">
        <v>44802</v>
      </c>
      <c r="N62" s="6">
        <v>89.99</v>
      </c>
    </row>
    <row r="63" spans="1:14" hidden="1">
      <c r="A63" s="4" t="s">
        <v>184</v>
      </c>
      <c r="B63" s="5">
        <v>45476</v>
      </c>
      <c r="C63" s="4" t="s">
        <v>72</v>
      </c>
      <c r="D63" s="4" t="s">
        <v>73</v>
      </c>
      <c r="E63" s="4" t="s">
        <v>121</v>
      </c>
      <c r="F63" s="4" t="s">
        <v>122</v>
      </c>
      <c r="G63" s="4" t="s">
        <v>6</v>
      </c>
      <c r="H63" s="4">
        <v>1</v>
      </c>
      <c r="I63" s="6">
        <v>89.99</v>
      </c>
      <c r="J63" s="4" t="s">
        <v>31</v>
      </c>
      <c r="K63" s="4" t="s">
        <v>12</v>
      </c>
      <c r="L63" s="4" t="s">
        <v>44</v>
      </c>
      <c r="M63" s="5">
        <v>44611</v>
      </c>
      <c r="N63" s="6">
        <v>89.99</v>
      </c>
    </row>
    <row r="64" spans="1:14" hidden="1">
      <c r="A64" s="4" t="s">
        <v>185</v>
      </c>
      <c r="B64" s="5">
        <v>45476</v>
      </c>
      <c r="C64" s="4" t="s">
        <v>186</v>
      </c>
      <c r="D64" s="4" t="s">
        <v>187</v>
      </c>
      <c r="E64" s="4" t="s">
        <v>118</v>
      </c>
      <c r="F64" s="4" t="s">
        <v>119</v>
      </c>
      <c r="G64" s="4" t="s">
        <v>5</v>
      </c>
      <c r="H64" s="4">
        <v>5</v>
      </c>
      <c r="I64" s="6">
        <v>79.989999999999995</v>
      </c>
      <c r="J64" s="4" t="s">
        <v>62</v>
      </c>
      <c r="K64" s="4" t="s">
        <v>9</v>
      </c>
      <c r="L64" s="4" t="s">
        <v>32</v>
      </c>
      <c r="M64" s="5">
        <v>44981</v>
      </c>
      <c r="N64" s="6">
        <v>399.95</v>
      </c>
    </row>
    <row r="65" spans="1:14" hidden="1">
      <c r="A65" s="4" t="s">
        <v>188</v>
      </c>
      <c r="B65" s="5">
        <v>45481</v>
      </c>
      <c r="C65" s="4" t="s">
        <v>189</v>
      </c>
      <c r="D65" s="4" t="s">
        <v>190</v>
      </c>
      <c r="E65" s="4" t="s">
        <v>51</v>
      </c>
      <c r="F65" s="4" t="s">
        <v>52</v>
      </c>
      <c r="G65" s="4" t="s">
        <v>7</v>
      </c>
      <c r="H65" s="4">
        <v>1</v>
      </c>
      <c r="I65" s="6">
        <v>149.99</v>
      </c>
      <c r="J65" s="4" t="s">
        <v>43</v>
      </c>
      <c r="K65" s="4" t="s">
        <v>11</v>
      </c>
      <c r="L65" s="4" t="s">
        <v>32</v>
      </c>
      <c r="M65" s="5">
        <v>44421</v>
      </c>
      <c r="N65" s="6">
        <v>149.99</v>
      </c>
    </row>
    <row r="66" spans="1:14">
      <c r="A66" s="4" t="s">
        <v>191</v>
      </c>
      <c r="B66" s="5">
        <v>45481</v>
      </c>
      <c r="C66" s="4" t="s">
        <v>49</v>
      </c>
      <c r="D66" s="4" t="s">
        <v>50</v>
      </c>
      <c r="E66" s="4" t="s">
        <v>84</v>
      </c>
      <c r="F66" s="4" t="s">
        <v>85</v>
      </c>
      <c r="G66" s="4" t="s">
        <v>6</v>
      </c>
      <c r="H66" s="4">
        <v>2</v>
      </c>
      <c r="I66" s="6">
        <v>699.99</v>
      </c>
      <c r="J66" s="4" t="s">
        <v>43</v>
      </c>
      <c r="K66" s="4" t="s">
        <v>10</v>
      </c>
      <c r="L66" s="4" t="s">
        <v>37</v>
      </c>
      <c r="M66" s="5">
        <v>45389</v>
      </c>
      <c r="N66" s="6">
        <v>1399.98</v>
      </c>
    </row>
    <row r="67" spans="1:14" hidden="1">
      <c r="A67" s="4" t="s">
        <v>192</v>
      </c>
      <c r="B67" s="5">
        <v>45481</v>
      </c>
      <c r="C67" s="4" t="s">
        <v>100</v>
      </c>
      <c r="D67" s="4" t="s">
        <v>101</v>
      </c>
      <c r="E67" s="4" t="s">
        <v>121</v>
      </c>
      <c r="F67" s="4" t="s">
        <v>122</v>
      </c>
      <c r="G67" s="4" t="s">
        <v>6</v>
      </c>
      <c r="H67" s="4">
        <v>5</v>
      </c>
      <c r="I67" s="6">
        <v>89.99</v>
      </c>
      <c r="J67" s="4" t="s">
        <v>62</v>
      </c>
      <c r="K67" s="4" t="s">
        <v>11</v>
      </c>
      <c r="L67" s="4" t="s">
        <v>37</v>
      </c>
      <c r="M67" s="5">
        <v>45161</v>
      </c>
      <c r="N67" s="6">
        <v>449.95</v>
      </c>
    </row>
    <row r="68" spans="1:14" hidden="1">
      <c r="A68" s="4" t="s">
        <v>193</v>
      </c>
      <c r="B68" s="5">
        <v>45482</v>
      </c>
      <c r="C68" s="4" t="s">
        <v>175</v>
      </c>
      <c r="D68" s="4" t="s">
        <v>176</v>
      </c>
      <c r="E68" s="4" t="s">
        <v>41</v>
      </c>
      <c r="F68" s="4" t="s">
        <v>42</v>
      </c>
      <c r="G68" s="4" t="s">
        <v>5</v>
      </c>
      <c r="H68" s="4">
        <v>4</v>
      </c>
      <c r="I68" s="6">
        <v>59.99</v>
      </c>
      <c r="J68" s="4" t="s">
        <v>31</v>
      </c>
      <c r="K68" s="4" t="s">
        <v>12</v>
      </c>
      <c r="L68" s="4" t="s">
        <v>44</v>
      </c>
      <c r="M68" s="5">
        <v>44509</v>
      </c>
      <c r="N68" s="6">
        <v>239.96</v>
      </c>
    </row>
    <row r="69" spans="1:14" hidden="1">
      <c r="A69" s="4" t="s">
        <v>194</v>
      </c>
      <c r="B69" s="5">
        <v>45484</v>
      </c>
      <c r="C69" s="4" t="s">
        <v>34</v>
      </c>
      <c r="D69" s="4" t="s">
        <v>35</v>
      </c>
      <c r="E69" s="4" t="s">
        <v>57</v>
      </c>
      <c r="F69" s="4" t="s">
        <v>58</v>
      </c>
      <c r="G69" s="4" t="s">
        <v>6</v>
      </c>
      <c r="H69" s="4">
        <v>1</v>
      </c>
      <c r="I69" s="6">
        <v>149.99</v>
      </c>
      <c r="J69" s="4" t="s">
        <v>31</v>
      </c>
      <c r="K69" s="4" t="s">
        <v>9</v>
      </c>
      <c r="L69" s="4" t="s">
        <v>44</v>
      </c>
      <c r="M69" s="5">
        <v>44909</v>
      </c>
      <c r="N69" s="6">
        <v>149.99</v>
      </c>
    </row>
    <row r="70" spans="1:14" hidden="1">
      <c r="A70" s="4" t="s">
        <v>195</v>
      </c>
      <c r="B70" s="5">
        <v>45484</v>
      </c>
      <c r="C70" s="4" t="s">
        <v>196</v>
      </c>
      <c r="D70" s="4" t="s">
        <v>197</v>
      </c>
      <c r="E70" s="4" t="s">
        <v>109</v>
      </c>
      <c r="F70" s="4" t="s">
        <v>110</v>
      </c>
      <c r="G70" s="4" t="s">
        <v>7</v>
      </c>
      <c r="H70" s="4">
        <v>1</v>
      </c>
      <c r="I70" s="6">
        <v>299.99</v>
      </c>
      <c r="J70" s="4" t="s">
        <v>36</v>
      </c>
      <c r="K70" s="4" t="s">
        <v>11</v>
      </c>
      <c r="L70" s="4" t="s">
        <v>37</v>
      </c>
      <c r="M70" s="5">
        <v>44891</v>
      </c>
      <c r="N70" s="6">
        <v>299.99</v>
      </c>
    </row>
    <row r="71" spans="1:14" hidden="1">
      <c r="A71" s="4" t="s">
        <v>198</v>
      </c>
      <c r="B71" s="5">
        <v>45487</v>
      </c>
      <c r="C71" s="4" t="s">
        <v>196</v>
      </c>
      <c r="D71" s="4" t="s">
        <v>197</v>
      </c>
      <c r="E71" s="4" t="s">
        <v>130</v>
      </c>
      <c r="F71" s="4" t="s">
        <v>131</v>
      </c>
      <c r="G71" s="4" t="s">
        <v>7</v>
      </c>
      <c r="H71" s="4">
        <v>2</v>
      </c>
      <c r="I71" s="6">
        <v>199.99</v>
      </c>
      <c r="J71" s="4" t="s">
        <v>31</v>
      </c>
      <c r="K71" s="4" t="s">
        <v>11</v>
      </c>
      <c r="L71" s="4" t="s">
        <v>32</v>
      </c>
      <c r="M71" s="5">
        <v>44541</v>
      </c>
      <c r="N71" s="6">
        <v>399.98</v>
      </c>
    </row>
    <row r="72" spans="1:14" hidden="1">
      <c r="A72" s="4" t="s">
        <v>199</v>
      </c>
      <c r="B72" s="5">
        <v>45490</v>
      </c>
      <c r="C72" s="4" t="s">
        <v>200</v>
      </c>
      <c r="D72" s="4" t="s">
        <v>201</v>
      </c>
      <c r="E72" s="4" t="s">
        <v>41</v>
      </c>
      <c r="F72" s="4" t="s">
        <v>42</v>
      </c>
      <c r="G72" s="4" t="s">
        <v>5</v>
      </c>
      <c r="H72" s="4">
        <v>3</v>
      </c>
      <c r="I72" s="6">
        <v>59.99</v>
      </c>
      <c r="J72" s="4" t="s">
        <v>36</v>
      </c>
      <c r="K72" s="4" t="s">
        <v>13</v>
      </c>
      <c r="L72" s="4" t="s">
        <v>32</v>
      </c>
      <c r="M72" s="5">
        <v>45130</v>
      </c>
      <c r="N72" s="6">
        <v>179.97</v>
      </c>
    </row>
    <row r="73" spans="1:14" hidden="1">
      <c r="A73" s="4" t="s">
        <v>202</v>
      </c>
      <c r="B73" s="5">
        <v>45490</v>
      </c>
      <c r="C73" s="4" t="s">
        <v>76</v>
      </c>
      <c r="D73" s="4" t="s">
        <v>77</v>
      </c>
      <c r="E73" s="4" t="s">
        <v>51</v>
      </c>
      <c r="F73" s="4" t="s">
        <v>52</v>
      </c>
      <c r="G73" s="4" t="s">
        <v>7</v>
      </c>
      <c r="H73" s="4">
        <v>3</v>
      </c>
      <c r="I73" s="6">
        <v>149.99</v>
      </c>
      <c r="J73" s="4" t="s">
        <v>31</v>
      </c>
      <c r="K73" s="4" t="s">
        <v>9</v>
      </c>
      <c r="L73" s="4" t="s">
        <v>37</v>
      </c>
      <c r="M73" s="5">
        <v>45199</v>
      </c>
      <c r="N73" s="6">
        <v>449.97</v>
      </c>
    </row>
    <row r="74" spans="1:14" hidden="1">
      <c r="A74" s="4" t="s">
        <v>203</v>
      </c>
      <c r="B74" s="5">
        <v>45491</v>
      </c>
      <c r="C74" s="4" t="s">
        <v>69</v>
      </c>
      <c r="D74" s="4" t="s">
        <v>70</v>
      </c>
      <c r="E74" s="4" t="s">
        <v>130</v>
      </c>
      <c r="F74" s="4" t="s">
        <v>131</v>
      </c>
      <c r="G74" s="4" t="s">
        <v>7</v>
      </c>
      <c r="H74" s="4">
        <v>3</v>
      </c>
      <c r="I74" s="6">
        <v>199.99</v>
      </c>
      <c r="J74" s="4" t="s">
        <v>31</v>
      </c>
      <c r="K74" s="4" t="s">
        <v>11</v>
      </c>
      <c r="L74" s="4" t="s">
        <v>37</v>
      </c>
      <c r="M74" s="5">
        <v>45254</v>
      </c>
      <c r="N74" s="6">
        <v>599.97</v>
      </c>
    </row>
    <row r="75" spans="1:14" hidden="1">
      <c r="A75" s="4" t="s">
        <v>204</v>
      </c>
      <c r="B75" s="5">
        <v>45496</v>
      </c>
      <c r="C75" s="4" t="s">
        <v>154</v>
      </c>
      <c r="D75" s="4" t="s">
        <v>155</v>
      </c>
      <c r="E75" s="4" t="s">
        <v>66</v>
      </c>
      <c r="F75" s="4" t="s">
        <v>67</v>
      </c>
      <c r="G75" s="4" t="s">
        <v>6</v>
      </c>
      <c r="H75" s="4">
        <v>1</v>
      </c>
      <c r="I75" s="6">
        <v>899.99</v>
      </c>
      <c r="J75" s="4" t="s">
        <v>31</v>
      </c>
      <c r="K75" s="4" t="s">
        <v>9</v>
      </c>
      <c r="L75" s="4" t="s">
        <v>44</v>
      </c>
      <c r="M75" s="5">
        <v>45179</v>
      </c>
      <c r="N75" s="6">
        <v>899.99</v>
      </c>
    </row>
    <row r="76" spans="1:14" hidden="1">
      <c r="A76" s="4" t="s">
        <v>205</v>
      </c>
      <c r="B76" s="5">
        <v>45497</v>
      </c>
      <c r="C76" s="4" t="s">
        <v>34</v>
      </c>
      <c r="D76" s="4" t="s">
        <v>35</v>
      </c>
      <c r="E76" s="4" t="s">
        <v>66</v>
      </c>
      <c r="F76" s="4" t="s">
        <v>67</v>
      </c>
      <c r="G76" s="4" t="s">
        <v>6</v>
      </c>
      <c r="H76" s="4">
        <v>5</v>
      </c>
      <c r="I76" s="6">
        <v>899.99</v>
      </c>
      <c r="J76" s="4" t="s">
        <v>62</v>
      </c>
      <c r="K76" s="4" t="s">
        <v>12</v>
      </c>
      <c r="L76" s="4" t="s">
        <v>44</v>
      </c>
      <c r="M76" s="5">
        <v>44899</v>
      </c>
      <c r="N76" s="6">
        <v>4499.95</v>
      </c>
    </row>
    <row r="77" spans="1:14" hidden="1">
      <c r="A77" s="4" t="s">
        <v>206</v>
      </c>
      <c r="B77" s="5">
        <v>45498</v>
      </c>
      <c r="C77" s="4" t="s">
        <v>186</v>
      </c>
      <c r="D77" s="4" t="s">
        <v>187</v>
      </c>
      <c r="E77" s="4" t="s">
        <v>41</v>
      </c>
      <c r="F77" s="4" t="s">
        <v>42</v>
      </c>
      <c r="G77" s="4" t="s">
        <v>5</v>
      </c>
      <c r="H77" s="4">
        <v>2</v>
      </c>
      <c r="I77" s="6">
        <v>59.99</v>
      </c>
      <c r="J77" s="4" t="s">
        <v>31</v>
      </c>
      <c r="K77" s="4" t="s">
        <v>11</v>
      </c>
      <c r="L77" s="4" t="s">
        <v>44</v>
      </c>
      <c r="M77" s="5">
        <v>45152</v>
      </c>
      <c r="N77" s="6">
        <v>119.98</v>
      </c>
    </row>
    <row r="78" spans="1:14" hidden="1">
      <c r="A78" s="4" t="s">
        <v>207</v>
      </c>
      <c r="B78" s="5">
        <v>45498</v>
      </c>
      <c r="C78" s="4" t="s">
        <v>200</v>
      </c>
      <c r="D78" s="4" t="s">
        <v>201</v>
      </c>
      <c r="E78" s="4" t="s">
        <v>29</v>
      </c>
      <c r="F78" s="4" t="s">
        <v>30</v>
      </c>
      <c r="G78" s="4" t="s">
        <v>6</v>
      </c>
      <c r="H78" s="4">
        <v>4</v>
      </c>
      <c r="I78" s="6">
        <v>249.99</v>
      </c>
      <c r="J78" s="4" t="s">
        <v>62</v>
      </c>
      <c r="K78" s="4" t="s">
        <v>9</v>
      </c>
      <c r="L78" s="4" t="s">
        <v>44</v>
      </c>
      <c r="M78" s="5">
        <v>45127</v>
      </c>
      <c r="N78" s="6">
        <v>999.96</v>
      </c>
    </row>
    <row r="79" spans="1:14" hidden="1">
      <c r="A79" s="4" t="s">
        <v>208</v>
      </c>
      <c r="B79" s="5">
        <v>45500</v>
      </c>
      <c r="C79" s="4" t="s">
        <v>100</v>
      </c>
      <c r="D79" s="4" t="s">
        <v>101</v>
      </c>
      <c r="E79" s="4" t="s">
        <v>29</v>
      </c>
      <c r="F79" s="4" t="s">
        <v>30</v>
      </c>
      <c r="G79" s="4" t="s">
        <v>6</v>
      </c>
      <c r="H79" s="4">
        <v>2</v>
      </c>
      <c r="I79" s="6">
        <v>249.99</v>
      </c>
      <c r="J79" s="4" t="s">
        <v>31</v>
      </c>
      <c r="K79" s="4" t="s">
        <v>11</v>
      </c>
      <c r="L79" s="4" t="s">
        <v>37</v>
      </c>
      <c r="M79" s="5">
        <v>45164</v>
      </c>
      <c r="N79" s="6">
        <v>499.98</v>
      </c>
    </row>
    <row r="80" spans="1:14" hidden="1">
      <c r="A80" s="4" t="s">
        <v>209</v>
      </c>
      <c r="B80" s="5">
        <v>45500</v>
      </c>
      <c r="C80" s="4" t="s">
        <v>151</v>
      </c>
      <c r="D80" s="4" t="s">
        <v>152</v>
      </c>
      <c r="E80" s="4" t="s">
        <v>109</v>
      </c>
      <c r="F80" s="4" t="s">
        <v>110</v>
      </c>
      <c r="G80" s="4" t="s">
        <v>7</v>
      </c>
      <c r="H80" s="4">
        <v>1</v>
      </c>
      <c r="I80" s="6">
        <v>299.99</v>
      </c>
      <c r="J80" s="4" t="s">
        <v>31</v>
      </c>
      <c r="K80" s="4" t="s">
        <v>12</v>
      </c>
      <c r="L80" s="4" t="s">
        <v>32</v>
      </c>
      <c r="M80" s="5">
        <v>44982</v>
      </c>
      <c r="N80" s="6">
        <v>299.99</v>
      </c>
    </row>
    <row r="81" spans="1:14" hidden="1">
      <c r="A81" s="4" t="s">
        <v>210</v>
      </c>
      <c r="B81" s="5">
        <v>45501</v>
      </c>
      <c r="C81" s="4" t="s">
        <v>90</v>
      </c>
      <c r="D81" s="4" t="s">
        <v>91</v>
      </c>
      <c r="E81" s="4" t="s">
        <v>121</v>
      </c>
      <c r="F81" s="4" t="s">
        <v>122</v>
      </c>
      <c r="G81" s="4" t="s">
        <v>6</v>
      </c>
      <c r="H81" s="4">
        <v>2</v>
      </c>
      <c r="I81" s="6">
        <v>89.99</v>
      </c>
      <c r="J81" s="4" t="s">
        <v>43</v>
      </c>
      <c r="K81" s="4" t="s">
        <v>12</v>
      </c>
      <c r="L81" s="4" t="s">
        <v>32</v>
      </c>
      <c r="M81" s="5">
        <v>44976</v>
      </c>
      <c r="N81" s="6">
        <v>179.98</v>
      </c>
    </row>
    <row r="82" spans="1:14" hidden="1">
      <c r="A82" s="4" t="s">
        <v>211</v>
      </c>
      <c r="B82" s="5">
        <v>45501</v>
      </c>
      <c r="C82" s="4" t="s">
        <v>151</v>
      </c>
      <c r="D82" s="4" t="s">
        <v>152</v>
      </c>
      <c r="E82" s="4" t="s">
        <v>109</v>
      </c>
      <c r="F82" s="4" t="s">
        <v>110</v>
      </c>
      <c r="G82" s="4" t="s">
        <v>7</v>
      </c>
      <c r="H82" s="4">
        <v>3</v>
      </c>
      <c r="I82" s="6">
        <v>299.99</v>
      </c>
      <c r="J82" s="4" t="s">
        <v>31</v>
      </c>
      <c r="K82" s="4" t="s">
        <v>9</v>
      </c>
      <c r="L82" s="4" t="s">
        <v>32</v>
      </c>
      <c r="M82" s="5">
        <v>44732</v>
      </c>
      <c r="N82" s="6">
        <v>899.97</v>
      </c>
    </row>
    <row r="83" spans="1:14" hidden="1">
      <c r="A83" s="4" t="s">
        <v>212</v>
      </c>
      <c r="B83" s="5">
        <v>45503</v>
      </c>
      <c r="C83" s="4" t="s">
        <v>90</v>
      </c>
      <c r="D83" s="4" t="s">
        <v>91</v>
      </c>
      <c r="E83" s="4" t="s">
        <v>84</v>
      </c>
      <c r="F83" s="4" t="s">
        <v>85</v>
      </c>
      <c r="G83" s="4" t="s">
        <v>6</v>
      </c>
      <c r="H83" s="4">
        <v>2</v>
      </c>
      <c r="I83" s="6">
        <v>699.99</v>
      </c>
      <c r="J83" s="4" t="s">
        <v>36</v>
      </c>
      <c r="K83" s="4" t="s">
        <v>11</v>
      </c>
      <c r="L83" s="4" t="s">
        <v>37</v>
      </c>
      <c r="M83" s="5">
        <v>44999</v>
      </c>
      <c r="N83" s="6">
        <v>1399.98</v>
      </c>
    </row>
    <row r="84" spans="1:14" hidden="1">
      <c r="A84" s="4" t="s">
        <v>213</v>
      </c>
      <c r="B84" s="5">
        <v>45504</v>
      </c>
      <c r="C84" s="4" t="s">
        <v>124</v>
      </c>
      <c r="D84" s="4" t="s">
        <v>125</v>
      </c>
      <c r="E84" s="4" t="s">
        <v>66</v>
      </c>
      <c r="F84" s="4" t="s">
        <v>67</v>
      </c>
      <c r="G84" s="4" t="s">
        <v>6</v>
      </c>
      <c r="H84" s="4">
        <v>4</v>
      </c>
      <c r="I84" s="6">
        <v>899.99</v>
      </c>
      <c r="J84" s="4" t="s">
        <v>62</v>
      </c>
      <c r="K84" s="4" t="s">
        <v>12</v>
      </c>
      <c r="L84" s="4" t="s">
        <v>44</v>
      </c>
      <c r="M84" s="5">
        <v>44523</v>
      </c>
      <c r="N84" s="6">
        <v>3599.96</v>
      </c>
    </row>
    <row r="85" spans="1:14" hidden="1">
      <c r="A85" s="4" t="s">
        <v>214</v>
      </c>
      <c r="B85" s="5">
        <v>45509</v>
      </c>
      <c r="C85" s="4" t="s">
        <v>215</v>
      </c>
      <c r="D85" s="4" t="s">
        <v>216</v>
      </c>
      <c r="E85" s="4" t="s">
        <v>51</v>
      </c>
      <c r="F85" s="4" t="s">
        <v>52</v>
      </c>
      <c r="G85" s="4" t="s">
        <v>7</v>
      </c>
      <c r="H85" s="4">
        <v>2</v>
      </c>
      <c r="I85" s="6">
        <v>149.99</v>
      </c>
      <c r="J85" s="4" t="s">
        <v>36</v>
      </c>
      <c r="K85" s="4" t="s">
        <v>13</v>
      </c>
      <c r="L85" s="4" t="s">
        <v>32</v>
      </c>
      <c r="M85" s="5">
        <v>44542</v>
      </c>
      <c r="N85" s="6">
        <v>299.98</v>
      </c>
    </row>
    <row r="86" spans="1:14" hidden="1">
      <c r="A86" s="4" t="s">
        <v>217</v>
      </c>
      <c r="B86" s="5">
        <v>45510</v>
      </c>
      <c r="C86" s="4" t="s">
        <v>106</v>
      </c>
      <c r="D86" s="4" t="s">
        <v>107</v>
      </c>
      <c r="E86" s="4" t="s">
        <v>51</v>
      </c>
      <c r="F86" s="4" t="s">
        <v>52</v>
      </c>
      <c r="G86" s="4" t="s">
        <v>7</v>
      </c>
      <c r="H86" s="4">
        <v>2</v>
      </c>
      <c r="I86" s="6">
        <v>149.99</v>
      </c>
      <c r="J86" s="4" t="s">
        <v>62</v>
      </c>
      <c r="K86" s="4" t="s">
        <v>10</v>
      </c>
      <c r="L86" s="4" t="s">
        <v>44</v>
      </c>
      <c r="M86" s="5">
        <v>44667</v>
      </c>
      <c r="N86" s="6">
        <v>299.98</v>
      </c>
    </row>
    <row r="87" spans="1:14" hidden="1">
      <c r="A87" s="4" t="s">
        <v>218</v>
      </c>
      <c r="B87" s="5">
        <v>45513</v>
      </c>
      <c r="C87" s="4" t="s">
        <v>93</v>
      </c>
      <c r="D87" s="4" t="s">
        <v>94</v>
      </c>
      <c r="E87" s="4" t="s">
        <v>121</v>
      </c>
      <c r="F87" s="4" t="s">
        <v>122</v>
      </c>
      <c r="G87" s="4" t="s">
        <v>6</v>
      </c>
      <c r="H87" s="4">
        <v>1</v>
      </c>
      <c r="I87" s="6">
        <v>89.99</v>
      </c>
      <c r="J87" s="4" t="s">
        <v>36</v>
      </c>
      <c r="K87" s="4" t="s">
        <v>11</v>
      </c>
      <c r="L87" s="4" t="s">
        <v>44</v>
      </c>
      <c r="M87" s="5">
        <v>45393</v>
      </c>
      <c r="N87" s="6">
        <v>89.99</v>
      </c>
    </row>
    <row r="88" spans="1:14" hidden="1">
      <c r="A88" s="4" t="s">
        <v>219</v>
      </c>
      <c r="B88" s="5">
        <v>45515</v>
      </c>
      <c r="C88" s="4" t="s">
        <v>90</v>
      </c>
      <c r="D88" s="4" t="s">
        <v>91</v>
      </c>
      <c r="E88" s="4" t="s">
        <v>109</v>
      </c>
      <c r="F88" s="4" t="s">
        <v>110</v>
      </c>
      <c r="G88" s="4" t="s">
        <v>7</v>
      </c>
      <c r="H88" s="4">
        <v>5</v>
      </c>
      <c r="I88" s="6">
        <v>299.99</v>
      </c>
      <c r="J88" s="4" t="s">
        <v>36</v>
      </c>
      <c r="K88" s="4" t="s">
        <v>11</v>
      </c>
      <c r="L88" s="4" t="s">
        <v>32</v>
      </c>
      <c r="M88" s="5">
        <v>44965</v>
      </c>
      <c r="N88" s="6">
        <v>1499.95</v>
      </c>
    </row>
    <row r="89" spans="1:14" hidden="1">
      <c r="A89" s="4" t="s">
        <v>220</v>
      </c>
      <c r="B89" s="5">
        <v>45517</v>
      </c>
      <c r="C89" s="4" t="s">
        <v>186</v>
      </c>
      <c r="D89" s="4" t="s">
        <v>187</v>
      </c>
      <c r="E89" s="4" t="s">
        <v>57</v>
      </c>
      <c r="F89" s="4" t="s">
        <v>58</v>
      </c>
      <c r="G89" s="4" t="s">
        <v>6</v>
      </c>
      <c r="H89" s="4">
        <v>4</v>
      </c>
      <c r="I89" s="6">
        <v>149.99</v>
      </c>
      <c r="J89" s="4" t="s">
        <v>62</v>
      </c>
      <c r="K89" s="4" t="s">
        <v>12</v>
      </c>
      <c r="L89" s="4" t="s">
        <v>37</v>
      </c>
      <c r="M89" s="5">
        <v>44820</v>
      </c>
      <c r="N89" s="6">
        <v>599.96</v>
      </c>
    </row>
    <row r="90" spans="1:14">
      <c r="A90" s="4" t="s">
        <v>221</v>
      </c>
      <c r="B90" s="5">
        <v>45517</v>
      </c>
      <c r="C90" s="4" t="s">
        <v>189</v>
      </c>
      <c r="D90" s="4" t="s">
        <v>190</v>
      </c>
      <c r="E90" s="4" t="s">
        <v>29</v>
      </c>
      <c r="F90" s="4" t="s">
        <v>30</v>
      </c>
      <c r="G90" s="4" t="s">
        <v>6</v>
      </c>
      <c r="H90" s="4">
        <v>5</v>
      </c>
      <c r="I90" s="6">
        <v>249.99</v>
      </c>
      <c r="J90" s="4" t="s">
        <v>43</v>
      </c>
      <c r="K90" s="4" t="s">
        <v>10</v>
      </c>
      <c r="L90" s="4" t="s">
        <v>37</v>
      </c>
      <c r="M90" s="5">
        <v>44782</v>
      </c>
      <c r="N90" s="6">
        <v>1249.95</v>
      </c>
    </row>
    <row r="91" spans="1:14" hidden="1">
      <c r="A91" s="4" t="s">
        <v>222</v>
      </c>
      <c r="B91" s="5">
        <v>45517</v>
      </c>
      <c r="C91" s="4" t="s">
        <v>69</v>
      </c>
      <c r="D91" s="4" t="s">
        <v>70</v>
      </c>
      <c r="E91" s="4" t="s">
        <v>29</v>
      </c>
      <c r="F91" s="4" t="s">
        <v>30</v>
      </c>
      <c r="G91" s="4" t="s">
        <v>6</v>
      </c>
      <c r="H91" s="4">
        <v>3</v>
      </c>
      <c r="I91" s="6">
        <v>249.99</v>
      </c>
      <c r="J91" s="4" t="s">
        <v>43</v>
      </c>
      <c r="K91" s="4" t="s">
        <v>11</v>
      </c>
      <c r="L91" s="4" t="s">
        <v>37</v>
      </c>
      <c r="M91" s="5">
        <v>44465</v>
      </c>
      <c r="N91" s="6">
        <v>749.97</v>
      </c>
    </row>
    <row r="92" spans="1:14" hidden="1">
      <c r="A92" s="4" t="s">
        <v>223</v>
      </c>
      <c r="B92" s="5">
        <v>45517</v>
      </c>
      <c r="C92" s="4" t="s">
        <v>46</v>
      </c>
      <c r="D92" s="4" t="s">
        <v>47</v>
      </c>
      <c r="E92" s="4" t="s">
        <v>130</v>
      </c>
      <c r="F92" s="4" t="s">
        <v>131</v>
      </c>
      <c r="G92" s="4" t="s">
        <v>7</v>
      </c>
      <c r="H92" s="4">
        <v>4</v>
      </c>
      <c r="I92" s="6">
        <v>199.99</v>
      </c>
      <c r="J92" s="4" t="s">
        <v>31</v>
      </c>
      <c r="K92" s="4" t="s">
        <v>11</v>
      </c>
      <c r="L92" s="4" t="s">
        <v>44</v>
      </c>
      <c r="M92" s="5">
        <v>44458</v>
      </c>
      <c r="N92" s="6">
        <v>799.96</v>
      </c>
    </row>
    <row r="93" spans="1:14" hidden="1">
      <c r="A93" s="4" t="s">
        <v>224</v>
      </c>
      <c r="B93" s="5">
        <v>45519</v>
      </c>
      <c r="C93" s="4" t="s">
        <v>162</v>
      </c>
      <c r="D93" s="4" t="s">
        <v>163</v>
      </c>
      <c r="E93" s="4" t="s">
        <v>130</v>
      </c>
      <c r="F93" s="4" t="s">
        <v>131</v>
      </c>
      <c r="G93" s="4" t="s">
        <v>7</v>
      </c>
      <c r="H93" s="4">
        <v>5</v>
      </c>
      <c r="I93" s="6">
        <v>199.99</v>
      </c>
      <c r="J93" s="4" t="s">
        <v>31</v>
      </c>
      <c r="K93" s="4" t="s">
        <v>11</v>
      </c>
      <c r="L93" s="4" t="s">
        <v>37</v>
      </c>
      <c r="M93" s="5">
        <v>44991</v>
      </c>
      <c r="N93" s="6">
        <v>999.95</v>
      </c>
    </row>
    <row r="94" spans="1:14">
      <c r="A94" s="4" t="s">
        <v>225</v>
      </c>
      <c r="B94" s="5">
        <v>45522</v>
      </c>
      <c r="C94" s="4" t="s">
        <v>90</v>
      </c>
      <c r="D94" s="4" t="s">
        <v>91</v>
      </c>
      <c r="E94" s="4" t="s">
        <v>121</v>
      </c>
      <c r="F94" s="4" t="s">
        <v>122</v>
      </c>
      <c r="G94" s="4" t="s">
        <v>6</v>
      </c>
      <c r="H94" s="4">
        <v>2</v>
      </c>
      <c r="I94" s="6">
        <v>89.99</v>
      </c>
      <c r="J94" s="4" t="s">
        <v>31</v>
      </c>
      <c r="K94" s="4" t="s">
        <v>10</v>
      </c>
      <c r="L94" s="4" t="s">
        <v>37</v>
      </c>
      <c r="M94" s="5">
        <v>44972</v>
      </c>
      <c r="N94" s="6">
        <v>179.98</v>
      </c>
    </row>
    <row r="95" spans="1:14">
      <c r="A95" s="4" t="s">
        <v>226</v>
      </c>
      <c r="B95" s="5">
        <v>45523</v>
      </c>
      <c r="C95" s="4" t="s">
        <v>200</v>
      </c>
      <c r="D95" s="4" t="s">
        <v>201</v>
      </c>
      <c r="E95" s="4" t="s">
        <v>66</v>
      </c>
      <c r="F95" s="4" t="s">
        <v>67</v>
      </c>
      <c r="G95" s="4" t="s">
        <v>6</v>
      </c>
      <c r="H95" s="4">
        <v>5</v>
      </c>
      <c r="I95" s="6">
        <v>899.99</v>
      </c>
      <c r="J95" s="4" t="s">
        <v>62</v>
      </c>
      <c r="K95" s="4" t="s">
        <v>10</v>
      </c>
      <c r="L95" s="4" t="s">
        <v>32</v>
      </c>
      <c r="M95" s="5">
        <v>44526</v>
      </c>
      <c r="N95" s="6">
        <v>4499.95</v>
      </c>
    </row>
    <row r="96" spans="1:14">
      <c r="A96" s="4" t="s">
        <v>227</v>
      </c>
      <c r="B96" s="5">
        <v>45523</v>
      </c>
      <c r="C96" s="4" t="s">
        <v>112</v>
      </c>
      <c r="D96" s="4" t="s">
        <v>113</v>
      </c>
      <c r="E96" s="4" t="s">
        <v>57</v>
      </c>
      <c r="F96" s="4" t="s">
        <v>58</v>
      </c>
      <c r="G96" s="4" t="s">
        <v>6</v>
      </c>
      <c r="H96" s="4">
        <v>3</v>
      </c>
      <c r="I96" s="6">
        <v>149.99</v>
      </c>
      <c r="J96" s="4" t="s">
        <v>43</v>
      </c>
      <c r="K96" s="4" t="s">
        <v>10</v>
      </c>
      <c r="L96" s="4" t="s">
        <v>32</v>
      </c>
      <c r="M96" s="5">
        <v>44574</v>
      </c>
      <c r="N96" s="6">
        <v>449.97</v>
      </c>
    </row>
    <row r="97" spans="1:14" hidden="1">
      <c r="A97" s="4" t="s">
        <v>228</v>
      </c>
      <c r="B97" s="5">
        <v>45526</v>
      </c>
      <c r="C97" s="4" t="s">
        <v>106</v>
      </c>
      <c r="D97" s="4" t="s">
        <v>107</v>
      </c>
      <c r="E97" s="4" t="s">
        <v>51</v>
      </c>
      <c r="F97" s="4" t="s">
        <v>52</v>
      </c>
      <c r="G97" s="4" t="s">
        <v>7</v>
      </c>
      <c r="H97" s="4">
        <v>5</v>
      </c>
      <c r="I97" s="6">
        <v>149.99</v>
      </c>
      <c r="J97" s="4" t="s">
        <v>36</v>
      </c>
      <c r="K97" s="4" t="s">
        <v>9</v>
      </c>
      <c r="L97" s="4" t="s">
        <v>32</v>
      </c>
      <c r="M97" s="5">
        <v>45310</v>
      </c>
      <c r="N97" s="6">
        <v>749.95</v>
      </c>
    </row>
    <row r="98" spans="1:14" hidden="1">
      <c r="A98" s="4" t="s">
        <v>229</v>
      </c>
      <c r="B98" s="5">
        <v>45528</v>
      </c>
      <c r="C98" s="4" t="s">
        <v>230</v>
      </c>
      <c r="D98" s="4" t="s">
        <v>231</v>
      </c>
      <c r="E98" s="4" t="s">
        <v>118</v>
      </c>
      <c r="F98" s="4" t="s">
        <v>119</v>
      </c>
      <c r="G98" s="4" t="s">
        <v>5</v>
      </c>
      <c r="H98" s="4">
        <v>3</v>
      </c>
      <c r="I98" s="6">
        <v>79.989999999999995</v>
      </c>
      <c r="J98" s="4" t="s">
        <v>31</v>
      </c>
      <c r="K98" s="4" t="s">
        <v>9</v>
      </c>
      <c r="L98" s="4" t="s">
        <v>37</v>
      </c>
      <c r="M98" s="5">
        <v>44779</v>
      </c>
      <c r="N98" s="6">
        <v>239.97</v>
      </c>
    </row>
    <row r="99" spans="1:14" hidden="1">
      <c r="A99" s="4" t="s">
        <v>232</v>
      </c>
      <c r="B99" s="5">
        <v>45528</v>
      </c>
      <c r="C99" s="4" t="s">
        <v>148</v>
      </c>
      <c r="D99" s="4" t="s">
        <v>149</v>
      </c>
      <c r="E99" s="4" t="s">
        <v>29</v>
      </c>
      <c r="F99" s="4" t="s">
        <v>30</v>
      </c>
      <c r="G99" s="4" t="s">
        <v>6</v>
      </c>
      <c r="H99" s="4">
        <v>2</v>
      </c>
      <c r="I99" s="6">
        <v>249.99</v>
      </c>
      <c r="J99" s="4" t="s">
        <v>31</v>
      </c>
      <c r="K99" s="4" t="s">
        <v>12</v>
      </c>
      <c r="L99" s="4" t="s">
        <v>44</v>
      </c>
      <c r="M99" s="5">
        <v>44572</v>
      </c>
      <c r="N99" s="6">
        <v>499.98</v>
      </c>
    </row>
    <row r="100" spans="1:14" hidden="1">
      <c r="A100" s="4" t="s">
        <v>233</v>
      </c>
      <c r="B100" s="5">
        <v>45532</v>
      </c>
      <c r="C100" s="4" t="s">
        <v>200</v>
      </c>
      <c r="D100" s="4" t="s">
        <v>201</v>
      </c>
      <c r="E100" s="4" t="s">
        <v>84</v>
      </c>
      <c r="F100" s="4" t="s">
        <v>85</v>
      </c>
      <c r="G100" s="4" t="s">
        <v>6</v>
      </c>
      <c r="H100" s="4">
        <v>1</v>
      </c>
      <c r="I100" s="6">
        <v>699.99</v>
      </c>
      <c r="J100" s="4" t="s">
        <v>31</v>
      </c>
      <c r="K100" s="4" t="s">
        <v>9</v>
      </c>
      <c r="L100" s="4" t="s">
        <v>37</v>
      </c>
      <c r="M100" s="5">
        <v>44497</v>
      </c>
      <c r="N100" s="6">
        <v>699.99</v>
      </c>
    </row>
    <row r="101" spans="1:14" hidden="1">
      <c r="A101" s="4" t="s">
        <v>234</v>
      </c>
      <c r="B101" s="5">
        <v>45532</v>
      </c>
      <c r="C101" s="4" t="s">
        <v>235</v>
      </c>
      <c r="D101" s="4" t="s">
        <v>236</v>
      </c>
      <c r="E101" s="4" t="s">
        <v>57</v>
      </c>
      <c r="F101" s="4" t="s">
        <v>58</v>
      </c>
      <c r="G101" s="4" t="s">
        <v>6</v>
      </c>
      <c r="H101" s="4">
        <v>3</v>
      </c>
      <c r="I101" s="6">
        <v>149.99</v>
      </c>
      <c r="J101" s="4" t="s">
        <v>31</v>
      </c>
      <c r="K101" s="4" t="s">
        <v>13</v>
      </c>
      <c r="L101" s="4" t="s">
        <v>37</v>
      </c>
      <c r="M101" s="5">
        <v>45212</v>
      </c>
      <c r="N101" s="6">
        <v>449.97</v>
      </c>
    </row>
    <row r="102" spans="1:14" hidden="1">
      <c r="A102" s="4" t="s">
        <v>237</v>
      </c>
      <c r="B102" s="5">
        <v>45534</v>
      </c>
      <c r="C102" s="4" t="s">
        <v>238</v>
      </c>
      <c r="D102" s="4" t="s">
        <v>239</v>
      </c>
      <c r="E102" s="4" t="s">
        <v>84</v>
      </c>
      <c r="F102" s="4" t="s">
        <v>85</v>
      </c>
      <c r="G102" s="4" t="s">
        <v>6</v>
      </c>
      <c r="H102" s="4">
        <v>2</v>
      </c>
      <c r="I102" s="6">
        <v>699.99</v>
      </c>
      <c r="J102" s="4" t="s">
        <v>36</v>
      </c>
      <c r="K102" s="4" t="s">
        <v>11</v>
      </c>
      <c r="L102" s="4" t="s">
        <v>37</v>
      </c>
      <c r="M102" s="5">
        <v>44421</v>
      </c>
      <c r="N102" s="6">
        <v>1399.98</v>
      </c>
    </row>
    <row r="103" spans="1:14" hidden="1">
      <c r="A103" s="4" t="s">
        <v>240</v>
      </c>
      <c r="B103" s="5">
        <v>45537</v>
      </c>
      <c r="C103" s="4" t="s">
        <v>235</v>
      </c>
      <c r="D103" s="4" t="s">
        <v>236</v>
      </c>
      <c r="E103" s="4" t="s">
        <v>29</v>
      </c>
      <c r="F103" s="4" t="s">
        <v>30</v>
      </c>
      <c r="G103" s="4" t="s">
        <v>6</v>
      </c>
      <c r="H103" s="4">
        <v>1</v>
      </c>
      <c r="I103" s="6">
        <v>249.99</v>
      </c>
      <c r="J103" s="4" t="s">
        <v>36</v>
      </c>
      <c r="K103" s="4" t="s">
        <v>13</v>
      </c>
      <c r="L103" s="4" t="s">
        <v>37</v>
      </c>
      <c r="M103" s="5">
        <v>44685</v>
      </c>
      <c r="N103" s="6">
        <v>249.99</v>
      </c>
    </row>
    <row r="104" spans="1:14" hidden="1">
      <c r="A104" s="4" t="s">
        <v>241</v>
      </c>
      <c r="B104" s="5">
        <v>45537</v>
      </c>
      <c r="C104" s="4" t="s">
        <v>27</v>
      </c>
      <c r="D104" s="4" t="s">
        <v>28</v>
      </c>
      <c r="E104" s="4" t="s">
        <v>29</v>
      </c>
      <c r="F104" s="4" t="s">
        <v>30</v>
      </c>
      <c r="G104" s="4" t="s">
        <v>6</v>
      </c>
      <c r="H104" s="4">
        <v>1</v>
      </c>
      <c r="I104" s="6">
        <v>249.99</v>
      </c>
      <c r="J104" s="4" t="s">
        <v>62</v>
      </c>
      <c r="K104" s="4" t="s">
        <v>11</v>
      </c>
      <c r="L104" s="4" t="s">
        <v>37</v>
      </c>
      <c r="M104" s="5">
        <v>45332</v>
      </c>
      <c r="N104" s="6">
        <v>249.99</v>
      </c>
    </row>
    <row r="105" spans="1:14" hidden="1">
      <c r="A105" s="4" t="s">
        <v>242</v>
      </c>
      <c r="B105" s="5">
        <v>45538</v>
      </c>
      <c r="C105" s="4" t="s">
        <v>230</v>
      </c>
      <c r="D105" s="4" t="s">
        <v>231</v>
      </c>
      <c r="E105" s="4" t="s">
        <v>84</v>
      </c>
      <c r="F105" s="4" t="s">
        <v>85</v>
      </c>
      <c r="G105" s="4" t="s">
        <v>6</v>
      </c>
      <c r="H105" s="4">
        <v>2</v>
      </c>
      <c r="I105" s="6">
        <v>699.99</v>
      </c>
      <c r="J105" s="4" t="s">
        <v>62</v>
      </c>
      <c r="K105" s="4" t="s">
        <v>9</v>
      </c>
      <c r="L105" s="4" t="s">
        <v>37</v>
      </c>
      <c r="M105" s="5">
        <v>44870</v>
      </c>
      <c r="N105" s="6">
        <v>1399.98</v>
      </c>
    </row>
    <row r="106" spans="1:14" hidden="1">
      <c r="A106" s="4" t="s">
        <v>243</v>
      </c>
      <c r="B106" s="5">
        <v>45541</v>
      </c>
      <c r="C106" s="4" t="s">
        <v>142</v>
      </c>
      <c r="D106" s="4" t="s">
        <v>143</v>
      </c>
      <c r="E106" s="4" t="s">
        <v>41</v>
      </c>
      <c r="F106" s="4" t="s">
        <v>42</v>
      </c>
      <c r="G106" s="4" t="s">
        <v>5</v>
      </c>
      <c r="H106" s="4">
        <v>3</v>
      </c>
      <c r="I106" s="6">
        <v>59.99</v>
      </c>
      <c r="J106" s="4" t="s">
        <v>36</v>
      </c>
      <c r="K106" s="4" t="s">
        <v>9</v>
      </c>
      <c r="L106" s="4" t="s">
        <v>37</v>
      </c>
      <c r="M106" s="5">
        <v>44717</v>
      </c>
      <c r="N106" s="6">
        <v>179.97</v>
      </c>
    </row>
    <row r="107" spans="1:14" hidden="1">
      <c r="A107" s="4" t="s">
        <v>244</v>
      </c>
      <c r="B107" s="5">
        <v>45544</v>
      </c>
      <c r="C107" s="4" t="s">
        <v>136</v>
      </c>
      <c r="D107" s="4" t="s">
        <v>137</v>
      </c>
      <c r="E107" s="4" t="s">
        <v>41</v>
      </c>
      <c r="F107" s="4" t="s">
        <v>42</v>
      </c>
      <c r="G107" s="4" t="s">
        <v>5</v>
      </c>
      <c r="H107" s="4">
        <v>3</v>
      </c>
      <c r="I107" s="6">
        <v>59.99</v>
      </c>
      <c r="J107" s="4" t="s">
        <v>43</v>
      </c>
      <c r="K107" s="4" t="s">
        <v>10</v>
      </c>
      <c r="L107" s="4" t="s">
        <v>44</v>
      </c>
      <c r="M107" s="5">
        <v>44748</v>
      </c>
      <c r="N107" s="6">
        <v>179.97</v>
      </c>
    </row>
    <row r="108" spans="1:14" hidden="1">
      <c r="A108" s="4" t="s">
        <v>245</v>
      </c>
      <c r="B108" s="5">
        <v>45544</v>
      </c>
      <c r="C108" s="4" t="s">
        <v>145</v>
      </c>
      <c r="D108" s="4" t="s">
        <v>146</v>
      </c>
      <c r="E108" s="4" t="s">
        <v>118</v>
      </c>
      <c r="F108" s="4" t="s">
        <v>119</v>
      </c>
      <c r="G108" s="4" t="s">
        <v>5</v>
      </c>
      <c r="H108" s="4">
        <v>4</v>
      </c>
      <c r="I108" s="6">
        <v>79.989999999999995</v>
      </c>
      <c r="J108" s="4" t="s">
        <v>31</v>
      </c>
      <c r="K108" s="4" t="s">
        <v>11</v>
      </c>
      <c r="L108" s="4" t="s">
        <v>32</v>
      </c>
      <c r="M108" s="5">
        <v>44530</v>
      </c>
      <c r="N108" s="6">
        <v>319.95999999999998</v>
      </c>
    </row>
    <row r="109" spans="1:14" hidden="1">
      <c r="A109" s="4" t="s">
        <v>246</v>
      </c>
      <c r="B109" s="5">
        <v>45545</v>
      </c>
      <c r="C109" s="4" t="s">
        <v>60</v>
      </c>
      <c r="D109" s="4" t="s">
        <v>61</v>
      </c>
      <c r="E109" s="4" t="s">
        <v>118</v>
      </c>
      <c r="F109" s="4" t="s">
        <v>119</v>
      </c>
      <c r="G109" s="4" t="s">
        <v>5</v>
      </c>
      <c r="H109" s="4">
        <v>1</v>
      </c>
      <c r="I109" s="6">
        <v>79.989999999999995</v>
      </c>
      <c r="J109" s="4" t="s">
        <v>31</v>
      </c>
      <c r="K109" s="4" t="s">
        <v>13</v>
      </c>
      <c r="L109" s="4" t="s">
        <v>32</v>
      </c>
      <c r="M109" s="5">
        <v>44693</v>
      </c>
      <c r="N109" s="6">
        <v>79.989999999999995</v>
      </c>
    </row>
    <row r="110" spans="1:14" hidden="1">
      <c r="A110" s="4" t="s">
        <v>247</v>
      </c>
      <c r="B110" s="5">
        <v>45547</v>
      </c>
      <c r="C110" s="4" t="s">
        <v>54</v>
      </c>
      <c r="D110" s="4" t="s">
        <v>55</v>
      </c>
      <c r="E110" s="4" t="s">
        <v>109</v>
      </c>
      <c r="F110" s="4" t="s">
        <v>110</v>
      </c>
      <c r="G110" s="4" t="s">
        <v>7</v>
      </c>
      <c r="H110" s="4">
        <v>3</v>
      </c>
      <c r="I110" s="6">
        <v>299.99</v>
      </c>
      <c r="J110" s="4" t="s">
        <v>36</v>
      </c>
      <c r="K110" s="4" t="s">
        <v>9</v>
      </c>
      <c r="L110" s="4" t="s">
        <v>37</v>
      </c>
      <c r="M110" s="5">
        <v>44494</v>
      </c>
      <c r="N110" s="6">
        <v>899.97</v>
      </c>
    </row>
    <row r="111" spans="1:14" hidden="1">
      <c r="A111" s="4" t="s">
        <v>248</v>
      </c>
      <c r="B111" s="5">
        <v>45548</v>
      </c>
      <c r="C111" s="4" t="s">
        <v>46</v>
      </c>
      <c r="D111" s="4" t="s">
        <v>47</v>
      </c>
      <c r="E111" s="4" t="s">
        <v>121</v>
      </c>
      <c r="F111" s="4" t="s">
        <v>122</v>
      </c>
      <c r="G111" s="4" t="s">
        <v>6</v>
      </c>
      <c r="H111" s="4">
        <v>2</v>
      </c>
      <c r="I111" s="6">
        <v>89.99</v>
      </c>
      <c r="J111" s="4" t="s">
        <v>36</v>
      </c>
      <c r="K111" s="4" t="s">
        <v>12</v>
      </c>
      <c r="L111" s="4" t="s">
        <v>37</v>
      </c>
      <c r="M111" s="5">
        <v>44641</v>
      </c>
      <c r="N111" s="6">
        <v>179.98</v>
      </c>
    </row>
    <row r="112" spans="1:14" hidden="1">
      <c r="A112" s="4" t="s">
        <v>249</v>
      </c>
      <c r="B112" s="5">
        <v>45550</v>
      </c>
      <c r="C112" s="4" t="s">
        <v>250</v>
      </c>
      <c r="D112" s="4" t="s">
        <v>251</v>
      </c>
      <c r="E112" s="4" t="s">
        <v>57</v>
      </c>
      <c r="F112" s="4" t="s">
        <v>58</v>
      </c>
      <c r="G112" s="4" t="s">
        <v>6</v>
      </c>
      <c r="H112" s="4">
        <v>4</v>
      </c>
      <c r="I112" s="6">
        <v>149.99</v>
      </c>
      <c r="J112" s="4" t="s">
        <v>31</v>
      </c>
      <c r="K112" s="4" t="s">
        <v>11</v>
      </c>
      <c r="L112" s="4" t="s">
        <v>32</v>
      </c>
      <c r="M112" s="5">
        <v>44909</v>
      </c>
      <c r="N112" s="6">
        <v>599.96</v>
      </c>
    </row>
    <row r="113" spans="1:14" hidden="1">
      <c r="A113" s="4" t="s">
        <v>252</v>
      </c>
      <c r="B113" s="5">
        <v>45551</v>
      </c>
      <c r="C113" s="4" t="s">
        <v>69</v>
      </c>
      <c r="D113" s="4" t="s">
        <v>70</v>
      </c>
      <c r="E113" s="4" t="s">
        <v>29</v>
      </c>
      <c r="F113" s="4" t="s">
        <v>30</v>
      </c>
      <c r="G113" s="4" t="s">
        <v>6</v>
      </c>
      <c r="H113" s="4">
        <v>2</v>
      </c>
      <c r="I113" s="6">
        <v>249.99</v>
      </c>
      <c r="J113" s="4" t="s">
        <v>43</v>
      </c>
      <c r="K113" s="4" t="s">
        <v>12</v>
      </c>
      <c r="L113" s="4" t="s">
        <v>32</v>
      </c>
      <c r="M113" s="5">
        <v>44993</v>
      </c>
      <c r="N113" s="6">
        <v>499.98</v>
      </c>
    </row>
    <row r="114" spans="1:14" hidden="1">
      <c r="A114" s="4" t="s">
        <v>253</v>
      </c>
      <c r="B114" s="5">
        <v>45551</v>
      </c>
      <c r="C114" s="4" t="s">
        <v>158</v>
      </c>
      <c r="D114" s="4" t="s">
        <v>159</v>
      </c>
      <c r="E114" s="4" t="s">
        <v>130</v>
      </c>
      <c r="F114" s="4" t="s">
        <v>131</v>
      </c>
      <c r="G114" s="4" t="s">
        <v>7</v>
      </c>
      <c r="H114" s="4">
        <v>4</v>
      </c>
      <c r="I114" s="6">
        <v>199.99</v>
      </c>
      <c r="J114" s="4" t="s">
        <v>62</v>
      </c>
      <c r="K114" s="4" t="s">
        <v>10</v>
      </c>
      <c r="L114" s="4" t="s">
        <v>32</v>
      </c>
      <c r="M114" s="5">
        <v>44458</v>
      </c>
      <c r="N114" s="6">
        <v>799.96</v>
      </c>
    </row>
    <row r="115" spans="1:14">
      <c r="A115" s="4" t="s">
        <v>254</v>
      </c>
      <c r="B115" s="5">
        <v>45554</v>
      </c>
      <c r="C115" s="4" t="s">
        <v>151</v>
      </c>
      <c r="D115" s="4" t="s">
        <v>152</v>
      </c>
      <c r="E115" s="4" t="s">
        <v>121</v>
      </c>
      <c r="F115" s="4" t="s">
        <v>122</v>
      </c>
      <c r="G115" s="4" t="s">
        <v>6</v>
      </c>
      <c r="H115" s="4">
        <v>5</v>
      </c>
      <c r="I115" s="6">
        <v>89.99</v>
      </c>
      <c r="J115" s="4" t="s">
        <v>36</v>
      </c>
      <c r="K115" s="4" t="s">
        <v>10</v>
      </c>
      <c r="L115" s="4" t="s">
        <v>37</v>
      </c>
      <c r="M115" s="5">
        <v>44446</v>
      </c>
      <c r="N115" s="6">
        <v>449.95</v>
      </c>
    </row>
    <row r="116" spans="1:14">
      <c r="A116" s="4" t="s">
        <v>255</v>
      </c>
      <c r="B116" s="5">
        <v>45554</v>
      </c>
      <c r="C116" s="4" t="s">
        <v>256</v>
      </c>
      <c r="D116" s="4" t="s">
        <v>257</v>
      </c>
      <c r="E116" s="4" t="s">
        <v>57</v>
      </c>
      <c r="F116" s="4" t="s">
        <v>58</v>
      </c>
      <c r="G116" s="4" t="s">
        <v>6</v>
      </c>
      <c r="H116" s="4">
        <v>1</v>
      </c>
      <c r="I116" s="6">
        <v>149.99</v>
      </c>
      <c r="J116" s="4" t="s">
        <v>43</v>
      </c>
      <c r="K116" s="4" t="s">
        <v>10</v>
      </c>
      <c r="L116" s="4" t="s">
        <v>44</v>
      </c>
      <c r="M116" s="5">
        <v>44482</v>
      </c>
      <c r="N116" s="6">
        <v>149.99</v>
      </c>
    </row>
    <row r="117" spans="1:14" hidden="1">
      <c r="A117" s="4" t="s">
        <v>258</v>
      </c>
      <c r="B117" s="5">
        <v>45554</v>
      </c>
      <c r="C117" s="4" t="s">
        <v>76</v>
      </c>
      <c r="D117" s="4" t="s">
        <v>77</v>
      </c>
      <c r="E117" s="4" t="s">
        <v>84</v>
      </c>
      <c r="F117" s="4" t="s">
        <v>85</v>
      </c>
      <c r="G117" s="4" t="s">
        <v>6</v>
      </c>
      <c r="H117" s="4">
        <v>4</v>
      </c>
      <c r="I117" s="6">
        <v>699.99</v>
      </c>
      <c r="J117" s="4" t="s">
        <v>43</v>
      </c>
      <c r="K117" s="4" t="s">
        <v>12</v>
      </c>
      <c r="L117" s="4" t="s">
        <v>32</v>
      </c>
      <c r="M117" s="5">
        <v>44618</v>
      </c>
      <c r="N117" s="6">
        <v>2799.96</v>
      </c>
    </row>
    <row r="118" spans="1:14" hidden="1">
      <c r="A118" s="4" t="s">
        <v>259</v>
      </c>
      <c r="B118" s="5">
        <v>45559</v>
      </c>
      <c r="C118" s="4" t="s">
        <v>238</v>
      </c>
      <c r="D118" s="4" t="s">
        <v>239</v>
      </c>
      <c r="E118" s="4" t="s">
        <v>66</v>
      </c>
      <c r="F118" s="4" t="s">
        <v>67</v>
      </c>
      <c r="G118" s="4" t="s">
        <v>6</v>
      </c>
      <c r="H118" s="4">
        <v>3</v>
      </c>
      <c r="I118" s="6">
        <v>899.99</v>
      </c>
      <c r="J118" s="4" t="s">
        <v>36</v>
      </c>
      <c r="K118" s="4" t="s">
        <v>11</v>
      </c>
      <c r="L118" s="4" t="s">
        <v>44</v>
      </c>
      <c r="M118" s="5">
        <v>45157</v>
      </c>
      <c r="N118" s="6">
        <v>2699.97</v>
      </c>
    </row>
    <row r="119" spans="1:14" hidden="1">
      <c r="A119" s="4" t="s">
        <v>260</v>
      </c>
      <c r="B119" s="5">
        <v>45560</v>
      </c>
      <c r="C119" s="4" t="s">
        <v>116</v>
      </c>
      <c r="D119" s="4" t="s">
        <v>117</v>
      </c>
      <c r="E119" s="4" t="s">
        <v>51</v>
      </c>
      <c r="F119" s="4" t="s">
        <v>52</v>
      </c>
      <c r="G119" s="4" t="s">
        <v>7</v>
      </c>
      <c r="H119" s="4">
        <v>3</v>
      </c>
      <c r="I119" s="6">
        <v>149.99</v>
      </c>
      <c r="J119" s="4" t="s">
        <v>43</v>
      </c>
      <c r="K119" s="4" t="s">
        <v>10</v>
      </c>
      <c r="L119" s="4" t="s">
        <v>32</v>
      </c>
      <c r="M119" s="5">
        <v>44886</v>
      </c>
      <c r="N119" s="6">
        <v>449.97</v>
      </c>
    </row>
    <row r="120" spans="1:14" hidden="1">
      <c r="A120" s="4" t="s">
        <v>261</v>
      </c>
      <c r="B120" s="5">
        <v>45563</v>
      </c>
      <c r="C120" s="4" t="s">
        <v>103</v>
      </c>
      <c r="D120" s="4" t="s">
        <v>104</v>
      </c>
      <c r="E120" s="4" t="s">
        <v>109</v>
      </c>
      <c r="F120" s="4" t="s">
        <v>110</v>
      </c>
      <c r="G120" s="4" t="s">
        <v>7</v>
      </c>
      <c r="H120" s="4">
        <v>2</v>
      </c>
      <c r="I120" s="6">
        <v>299.99</v>
      </c>
      <c r="J120" s="4" t="s">
        <v>62</v>
      </c>
      <c r="K120" s="4" t="s">
        <v>9</v>
      </c>
      <c r="L120" s="4" t="s">
        <v>32</v>
      </c>
      <c r="M120" s="5">
        <v>44569</v>
      </c>
      <c r="N120" s="6">
        <v>599.98</v>
      </c>
    </row>
    <row r="121" spans="1:14" hidden="1">
      <c r="A121" s="4" t="s">
        <v>262</v>
      </c>
      <c r="B121" s="5">
        <v>45564</v>
      </c>
      <c r="C121" s="4" t="s">
        <v>263</v>
      </c>
      <c r="D121" s="4" t="s">
        <v>264</v>
      </c>
      <c r="E121" s="4" t="s">
        <v>130</v>
      </c>
      <c r="F121" s="4" t="s">
        <v>131</v>
      </c>
      <c r="G121" s="4" t="s">
        <v>7</v>
      </c>
      <c r="H121" s="4">
        <v>1</v>
      </c>
      <c r="I121" s="6">
        <v>199.99</v>
      </c>
      <c r="J121" s="4" t="s">
        <v>62</v>
      </c>
      <c r="K121" s="4" t="s">
        <v>10</v>
      </c>
      <c r="L121" s="4" t="s">
        <v>44</v>
      </c>
      <c r="M121" s="5">
        <v>44953</v>
      </c>
      <c r="N121" s="6">
        <v>199.99</v>
      </c>
    </row>
    <row r="122" spans="1:14" hidden="1">
      <c r="A122" s="4" t="s">
        <v>265</v>
      </c>
      <c r="B122" s="5">
        <v>45566</v>
      </c>
      <c r="C122" s="4" t="s">
        <v>49</v>
      </c>
      <c r="D122" s="4" t="s">
        <v>50</v>
      </c>
      <c r="E122" s="4" t="s">
        <v>109</v>
      </c>
      <c r="F122" s="4" t="s">
        <v>110</v>
      </c>
      <c r="G122" s="4" t="s">
        <v>7</v>
      </c>
      <c r="H122" s="4">
        <v>4</v>
      </c>
      <c r="I122" s="6">
        <v>299.99</v>
      </c>
      <c r="J122" s="4" t="s">
        <v>31</v>
      </c>
      <c r="K122" s="4" t="s">
        <v>9</v>
      </c>
      <c r="L122" s="4" t="s">
        <v>37</v>
      </c>
      <c r="M122" s="5">
        <v>44460</v>
      </c>
      <c r="N122" s="6">
        <v>1199.96</v>
      </c>
    </row>
    <row r="123" spans="1:14" hidden="1">
      <c r="A123" s="4" t="s">
        <v>266</v>
      </c>
      <c r="B123" s="5">
        <v>45572</v>
      </c>
      <c r="C123" s="4" t="s">
        <v>93</v>
      </c>
      <c r="D123" s="4" t="s">
        <v>94</v>
      </c>
      <c r="E123" s="4" t="s">
        <v>41</v>
      </c>
      <c r="F123" s="4" t="s">
        <v>42</v>
      </c>
      <c r="G123" s="4" t="s">
        <v>5</v>
      </c>
      <c r="H123" s="4">
        <v>2</v>
      </c>
      <c r="I123" s="6">
        <v>59.99</v>
      </c>
      <c r="J123" s="4" t="s">
        <v>36</v>
      </c>
      <c r="K123" s="4" t="s">
        <v>9</v>
      </c>
      <c r="L123" s="4" t="s">
        <v>32</v>
      </c>
      <c r="M123" s="5">
        <v>44579</v>
      </c>
      <c r="N123" s="6">
        <v>119.98</v>
      </c>
    </row>
    <row r="124" spans="1:14" hidden="1">
      <c r="A124" s="4" t="s">
        <v>267</v>
      </c>
      <c r="B124" s="5">
        <v>45572</v>
      </c>
      <c r="C124" s="4" t="s">
        <v>238</v>
      </c>
      <c r="D124" s="4" t="s">
        <v>239</v>
      </c>
      <c r="E124" s="4" t="s">
        <v>57</v>
      </c>
      <c r="F124" s="4" t="s">
        <v>58</v>
      </c>
      <c r="G124" s="4" t="s">
        <v>6</v>
      </c>
      <c r="H124" s="4">
        <v>4</v>
      </c>
      <c r="I124" s="6">
        <v>149.99</v>
      </c>
      <c r="J124" s="4" t="s">
        <v>36</v>
      </c>
      <c r="K124" s="4" t="s">
        <v>11</v>
      </c>
      <c r="L124" s="4" t="s">
        <v>37</v>
      </c>
      <c r="M124" s="5">
        <v>45076</v>
      </c>
      <c r="N124" s="6">
        <v>599.96</v>
      </c>
    </row>
    <row r="125" spans="1:14">
      <c r="A125" s="4" t="s">
        <v>268</v>
      </c>
      <c r="B125" s="5">
        <v>45573</v>
      </c>
      <c r="C125" s="4" t="s">
        <v>215</v>
      </c>
      <c r="D125" s="4" t="s">
        <v>216</v>
      </c>
      <c r="E125" s="4" t="s">
        <v>84</v>
      </c>
      <c r="F125" s="4" t="s">
        <v>85</v>
      </c>
      <c r="G125" s="4" t="s">
        <v>6</v>
      </c>
      <c r="H125" s="4">
        <v>2</v>
      </c>
      <c r="I125" s="6">
        <v>699.99</v>
      </c>
      <c r="J125" s="4" t="s">
        <v>62</v>
      </c>
      <c r="K125" s="4" t="s">
        <v>10</v>
      </c>
      <c r="L125" s="4" t="s">
        <v>37</v>
      </c>
      <c r="M125" s="5">
        <v>45274</v>
      </c>
      <c r="N125" s="6">
        <v>1399.98</v>
      </c>
    </row>
    <row r="126" spans="1:14" hidden="1">
      <c r="A126" s="4" t="s">
        <v>269</v>
      </c>
      <c r="B126" s="5">
        <v>45573</v>
      </c>
      <c r="C126" s="4" t="s">
        <v>235</v>
      </c>
      <c r="D126" s="4" t="s">
        <v>236</v>
      </c>
      <c r="E126" s="4" t="s">
        <v>51</v>
      </c>
      <c r="F126" s="4" t="s">
        <v>52</v>
      </c>
      <c r="G126" s="4" t="s">
        <v>7</v>
      </c>
      <c r="H126" s="4">
        <v>3</v>
      </c>
      <c r="I126" s="6">
        <v>149.99</v>
      </c>
      <c r="J126" s="4" t="s">
        <v>36</v>
      </c>
      <c r="K126" s="4" t="s">
        <v>12</v>
      </c>
      <c r="L126" s="4" t="s">
        <v>44</v>
      </c>
      <c r="M126" s="5">
        <v>44940</v>
      </c>
      <c r="N126" s="6">
        <v>449.97</v>
      </c>
    </row>
    <row r="127" spans="1:14" hidden="1">
      <c r="A127" s="4" t="s">
        <v>270</v>
      </c>
      <c r="B127" s="5">
        <v>45576</v>
      </c>
      <c r="C127" s="4" t="s">
        <v>151</v>
      </c>
      <c r="D127" s="4" t="s">
        <v>152</v>
      </c>
      <c r="E127" s="4" t="s">
        <v>109</v>
      </c>
      <c r="F127" s="4" t="s">
        <v>110</v>
      </c>
      <c r="G127" s="4" t="s">
        <v>7</v>
      </c>
      <c r="H127" s="4">
        <v>3</v>
      </c>
      <c r="I127" s="6">
        <v>299.99</v>
      </c>
      <c r="J127" s="4" t="s">
        <v>36</v>
      </c>
      <c r="K127" s="4" t="s">
        <v>9</v>
      </c>
      <c r="L127" s="4" t="s">
        <v>44</v>
      </c>
      <c r="M127" s="5">
        <v>45174</v>
      </c>
      <c r="N127" s="6">
        <v>899.97</v>
      </c>
    </row>
    <row r="128" spans="1:14" hidden="1">
      <c r="A128" s="4" t="s">
        <v>271</v>
      </c>
      <c r="B128" s="5">
        <v>45579</v>
      </c>
      <c r="C128" s="4" t="s">
        <v>87</v>
      </c>
      <c r="D128" s="4" t="s">
        <v>88</v>
      </c>
      <c r="E128" s="4" t="s">
        <v>66</v>
      </c>
      <c r="F128" s="4" t="s">
        <v>67</v>
      </c>
      <c r="G128" s="4" t="s">
        <v>6</v>
      </c>
      <c r="H128" s="4">
        <v>3</v>
      </c>
      <c r="I128" s="6">
        <v>899.99</v>
      </c>
      <c r="J128" s="4" t="s">
        <v>43</v>
      </c>
      <c r="K128" s="4" t="s">
        <v>13</v>
      </c>
      <c r="L128" s="4" t="s">
        <v>32</v>
      </c>
      <c r="M128" s="5">
        <v>45215</v>
      </c>
      <c r="N128" s="6">
        <v>2699.97</v>
      </c>
    </row>
    <row r="129" spans="1:14">
      <c r="A129" s="4" t="s">
        <v>272</v>
      </c>
      <c r="B129" s="5">
        <v>45581</v>
      </c>
      <c r="C129" s="4" t="s">
        <v>100</v>
      </c>
      <c r="D129" s="4" t="s">
        <v>101</v>
      </c>
      <c r="E129" s="4" t="s">
        <v>84</v>
      </c>
      <c r="F129" s="4" t="s">
        <v>85</v>
      </c>
      <c r="G129" s="4" t="s">
        <v>6</v>
      </c>
      <c r="H129" s="4">
        <v>5</v>
      </c>
      <c r="I129" s="6">
        <v>699.99</v>
      </c>
      <c r="J129" s="4" t="s">
        <v>31</v>
      </c>
      <c r="K129" s="4" t="s">
        <v>10</v>
      </c>
      <c r="L129" s="4" t="s">
        <v>44</v>
      </c>
      <c r="M129" s="5">
        <v>45008</v>
      </c>
      <c r="N129" s="6">
        <v>3499.95</v>
      </c>
    </row>
    <row r="130" spans="1:14" hidden="1">
      <c r="A130" s="4" t="s">
        <v>273</v>
      </c>
      <c r="B130" s="5">
        <v>45581</v>
      </c>
      <c r="C130" s="4" t="s">
        <v>175</v>
      </c>
      <c r="D130" s="4" t="s">
        <v>176</v>
      </c>
      <c r="E130" s="4" t="s">
        <v>84</v>
      </c>
      <c r="F130" s="4" t="s">
        <v>85</v>
      </c>
      <c r="G130" s="4" t="s">
        <v>6</v>
      </c>
      <c r="H130" s="4">
        <v>4</v>
      </c>
      <c r="I130" s="6">
        <v>699.99</v>
      </c>
      <c r="J130" s="4" t="s">
        <v>36</v>
      </c>
      <c r="K130" s="4" t="s">
        <v>9</v>
      </c>
      <c r="L130" s="4" t="s">
        <v>32</v>
      </c>
      <c r="M130" s="5">
        <v>45385</v>
      </c>
      <c r="N130" s="6">
        <v>2799.96</v>
      </c>
    </row>
    <row r="131" spans="1:14">
      <c r="A131" s="4" t="s">
        <v>274</v>
      </c>
      <c r="B131" s="5">
        <v>45581</v>
      </c>
      <c r="C131" s="4" t="s">
        <v>154</v>
      </c>
      <c r="D131" s="4" t="s">
        <v>155</v>
      </c>
      <c r="E131" s="4" t="s">
        <v>66</v>
      </c>
      <c r="F131" s="4" t="s">
        <v>67</v>
      </c>
      <c r="G131" s="4" t="s">
        <v>6</v>
      </c>
      <c r="H131" s="4">
        <v>1</v>
      </c>
      <c r="I131" s="6">
        <v>899.99</v>
      </c>
      <c r="J131" s="4" t="s">
        <v>36</v>
      </c>
      <c r="K131" s="4" t="s">
        <v>10</v>
      </c>
      <c r="L131" s="4" t="s">
        <v>44</v>
      </c>
      <c r="M131" s="5">
        <v>45369</v>
      </c>
      <c r="N131" s="6">
        <v>899.99</v>
      </c>
    </row>
    <row r="132" spans="1:14" hidden="1">
      <c r="A132" s="4" t="s">
        <v>275</v>
      </c>
      <c r="B132" s="5">
        <v>45583</v>
      </c>
      <c r="C132" s="4" t="s">
        <v>230</v>
      </c>
      <c r="D132" s="4" t="s">
        <v>231</v>
      </c>
      <c r="E132" s="4" t="s">
        <v>57</v>
      </c>
      <c r="F132" s="4" t="s">
        <v>58</v>
      </c>
      <c r="G132" s="4" t="s">
        <v>6</v>
      </c>
      <c r="H132" s="4">
        <v>2</v>
      </c>
      <c r="I132" s="6">
        <v>149.99</v>
      </c>
      <c r="J132" s="4" t="s">
        <v>36</v>
      </c>
      <c r="K132" s="4" t="s">
        <v>13</v>
      </c>
      <c r="L132" s="4" t="s">
        <v>32</v>
      </c>
      <c r="M132" s="5">
        <v>44916</v>
      </c>
      <c r="N132" s="6">
        <v>299.98</v>
      </c>
    </row>
    <row r="133" spans="1:14" hidden="1">
      <c r="A133" s="4" t="s">
        <v>276</v>
      </c>
      <c r="B133" s="5">
        <v>45586</v>
      </c>
      <c r="C133" s="4" t="s">
        <v>230</v>
      </c>
      <c r="D133" s="4" t="s">
        <v>231</v>
      </c>
      <c r="E133" s="4" t="s">
        <v>121</v>
      </c>
      <c r="F133" s="4" t="s">
        <v>122</v>
      </c>
      <c r="G133" s="4" t="s">
        <v>6</v>
      </c>
      <c r="H133" s="4">
        <v>3</v>
      </c>
      <c r="I133" s="6">
        <v>89.99</v>
      </c>
      <c r="J133" s="4" t="s">
        <v>43</v>
      </c>
      <c r="K133" s="4" t="s">
        <v>9</v>
      </c>
      <c r="L133" s="4" t="s">
        <v>32</v>
      </c>
      <c r="M133" s="5">
        <v>44551</v>
      </c>
      <c r="N133" s="6">
        <v>269.97000000000003</v>
      </c>
    </row>
    <row r="134" spans="1:14" hidden="1">
      <c r="A134" s="4" t="s">
        <v>277</v>
      </c>
      <c r="B134" s="5">
        <v>45588</v>
      </c>
      <c r="C134" s="4" t="s">
        <v>46</v>
      </c>
      <c r="D134" s="4" t="s">
        <v>47</v>
      </c>
      <c r="E134" s="4" t="s">
        <v>57</v>
      </c>
      <c r="F134" s="4" t="s">
        <v>58</v>
      </c>
      <c r="G134" s="4" t="s">
        <v>6</v>
      </c>
      <c r="H134" s="4">
        <v>2</v>
      </c>
      <c r="I134" s="6">
        <v>149.99</v>
      </c>
      <c r="J134" s="4" t="s">
        <v>43</v>
      </c>
      <c r="K134" s="4" t="s">
        <v>9</v>
      </c>
      <c r="L134" s="4" t="s">
        <v>32</v>
      </c>
      <c r="M134" s="5">
        <v>44473</v>
      </c>
      <c r="N134" s="6">
        <v>299.98</v>
      </c>
    </row>
    <row r="135" spans="1:14" hidden="1">
      <c r="A135" s="4" t="s">
        <v>278</v>
      </c>
      <c r="B135" s="5">
        <v>45588</v>
      </c>
      <c r="C135" s="4" t="s">
        <v>158</v>
      </c>
      <c r="D135" s="4" t="s">
        <v>159</v>
      </c>
      <c r="E135" s="4" t="s">
        <v>84</v>
      </c>
      <c r="F135" s="4" t="s">
        <v>85</v>
      </c>
      <c r="G135" s="4" t="s">
        <v>6</v>
      </c>
      <c r="H135" s="4">
        <v>2</v>
      </c>
      <c r="I135" s="6">
        <v>699.99</v>
      </c>
      <c r="J135" s="4" t="s">
        <v>31</v>
      </c>
      <c r="K135" s="4" t="s">
        <v>9</v>
      </c>
      <c r="L135" s="4" t="s">
        <v>32</v>
      </c>
      <c r="M135" s="5">
        <v>44992</v>
      </c>
      <c r="N135" s="6">
        <v>1399.98</v>
      </c>
    </row>
    <row r="136" spans="1:14" hidden="1">
      <c r="A136" s="4" t="s">
        <v>279</v>
      </c>
      <c r="B136" s="5">
        <v>45589</v>
      </c>
      <c r="C136" s="4" t="s">
        <v>162</v>
      </c>
      <c r="D136" s="4" t="s">
        <v>163</v>
      </c>
      <c r="E136" s="4" t="s">
        <v>84</v>
      </c>
      <c r="F136" s="4" t="s">
        <v>85</v>
      </c>
      <c r="G136" s="4" t="s">
        <v>6</v>
      </c>
      <c r="H136" s="4">
        <v>5</v>
      </c>
      <c r="I136" s="6">
        <v>699.99</v>
      </c>
      <c r="J136" s="4" t="s">
        <v>31</v>
      </c>
      <c r="K136" s="4" t="s">
        <v>11</v>
      </c>
      <c r="L136" s="4" t="s">
        <v>37</v>
      </c>
      <c r="M136" s="5">
        <v>44635</v>
      </c>
      <c r="N136" s="6">
        <v>3499.95</v>
      </c>
    </row>
    <row r="137" spans="1:14" hidden="1">
      <c r="A137" s="4" t="s">
        <v>280</v>
      </c>
      <c r="B137" s="5">
        <v>45592</v>
      </c>
      <c r="C137" s="4" t="s">
        <v>175</v>
      </c>
      <c r="D137" s="4" t="s">
        <v>176</v>
      </c>
      <c r="E137" s="4" t="s">
        <v>121</v>
      </c>
      <c r="F137" s="4" t="s">
        <v>122</v>
      </c>
      <c r="G137" s="4" t="s">
        <v>6</v>
      </c>
      <c r="H137" s="4">
        <v>3</v>
      </c>
      <c r="I137" s="6">
        <v>89.99</v>
      </c>
      <c r="J137" s="4" t="s">
        <v>36</v>
      </c>
      <c r="K137" s="4" t="s">
        <v>11</v>
      </c>
      <c r="L137" s="4" t="s">
        <v>44</v>
      </c>
      <c r="M137" s="5">
        <v>44615</v>
      </c>
      <c r="N137" s="6">
        <v>269.97000000000003</v>
      </c>
    </row>
    <row r="138" spans="1:14" hidden="1">
      <c r="A138" s="4" t="s">
        <v>281</v>
      </c>
      <c r="B138" s="5">
        <v>45597</v>
      </c>
      <c r="C138" s="4" t="s">
        <v>27</v>
      </c>
      <c r="D138" s="4" t="s">
        <v>28</v>
      </c>
      <c r="E138" s="4" t="s">
        <v>29</v>
      </c>
      <c r="F138" s="4" t="s">
        <v>30</v>
      </c>
      <c r="G138" s="4" t="s">
        <v>6</v>
      </c>
      <c r="H138" s="4">
        <v>5</v>
      </c>
      <c r="I138" s="6">
        <v>249.99</v>
      </c>
      <c r="J138" s="4" t="s">
        <v>36</v>
      </c>
      <c r="K138" s="4" t="s">
        <v>12</v>
      </c>
      <c r="L138" s="4" t="s">
        <v>44</v>
      </c>
      <c r="M138" s="5">
        <v>44881</v>
      </c>
      <c r="N138" s="6">
        <v>1249.95</v>
      </c>
    </row>
    <row r="139" spans="1:14" hidden="1">
      <c r="A139" s="4" t="s">
        <v>282</v>
      </c>
      <c r="B139" s="5">
        <v>45600</v>
      </c>
      <c r="C139" s="4" t="s">
        <v>69</v>
      </c>
      <c r="D139" s="4" t="s">
        <v>70</v>
      </c>
      <c r="E139" s="4" t="s">
        <v>109</v>
      </c>
      <c r="F139" s="4" t="s">
        <v>110</v>
      </c>
      <c r="G139" s="4" t="s">
        <v>7</v>
      </c>
      <c r="H139" s="4">
        <v>3</v>
      </c>
      <c r="I139" s="6">
        <v>299.99</v>
      </c>
      <c r="J139" s="4" t="s">
        <v>36</v>
      </c>
      <c r="K139" s="4" t="s">
        <v>12</v>
      </c>
      <c r="L139" s="4" t="s">
        <v>44</v>
      </c>
      <c r="M139" s="5">
        <v>44502</v>
      </c>
      <c r="N139" s="6">
        <v>899.97</v>
      </c>
    </row>
    <row r="140" spans="1:14" hidden="1">
      <c r="A140" s="4" t="s">
        <v>283</v>
      </c>
      <c r="B140" s="5">
        <v>45603</v>
      </c>
      <c r="C140" s="4" t="s">
        <v>103</v>
      </c>
      <c r="D140" s="4" t="s">
        <v>104</v>
      </c>
      <c r="E140" s="4" t="s">
        <v>121</v>
      </c>
      <c r="F140" s="4" t="s">
        <v>122</v>
      </c>
      <c r="G140" s="4" t="s">
        <v>6</v>
      </c>
      <c r="H140" s="4">
        <v>3</v>
      </c>
      <c r="I140" s="6">
        <v>89.99</v>
      </c>
      <c r="J140" s="4" t="s">
        <v>36</v>
      </c>
      <c r="K140" s="4" t="s">
        <v>11</v>
      </c>
      <c r="L140" s="4" t="s">
        <v>37</v>
      </c>
      <c r="M140" s="5">
        <v>44420</v>
      </c>
      <c r="N140" s="6">
        <v>269.97000000000003</v>
      </c>
    </row>
    <row r="141" spans="1:14" hidden="1">
      <c r="A141" s="4" t="s">
        <v>284</v>
      </c>
      <c r="B141" s="5">
        <v>45604</v>
      </c>
      <c r="C141" s="4" t="s">
        <v>93</v>
      </c>
      <c r="D141" s="4" t="s">
        <v>94</v>
      </c>
      <c r="E141" s="4" t="s">
        <v>51</v>
      </c>
      <c r="F141" s="4" t="s">
        <v>52</v>
      </c>
      <c r="G141" s="4" t="s">
        <v>7</v>
      </c>
      <c r="H141" s="4">
        <v>2</v>
      </c>
      <c r="I141" s="6">
        <v>149.99</v>
      </c>
      <c r="J141" s="4" t="s">
        <v>36</v>
      </c>
      <c r="K141" s="4" t="s">
        <v>13</v>
      </c>
      <c r="L141" s="4" t="s">
        <v>37</v>
      </c>
      <c r="M141" s="5">
        <v>44848</v>
      </c>
      <c r="N141" s="6">
        <v>299.98</v>
      </c>
    </row>
    <row r="142" spans="1:14" hidden="1">
      <c r="A142" s="4" t="s">
        <v>285</v>
      </c>
      <c r="B142" s="5">
        <v>45605</v>
      </c>
      <c r="C142" s="4" t="s">
        <v>189</v>
      </c>
      <c r="D142" s="4" t="s">
        <v>190</v>
      </c>
      <c r="E142" s="4" t="s">
        <v>29</v>
      </c>
      <c r="F142" s="4" t="s">
        <v>30</v>
      </c>
      <c r="G142" s="4" t="s">
        <v>6</v>
      </c>
      <c r="H142" s="4">
        <v>1</v>
      </c>
      <c r="I142" s="6">
        <v>249.99</v>
      </c>
      <c r="J142" s="4" t="s">
        <v>36</v>
      </c>
      <c r="K142" s="4" t="s">
        <v>11</v>
      </c>
      <c r="L142" s="4" t="s">
        <v>37</v>
      </c>
      <c r="M142" s="5">
        <v>44828</v>
      </c>
      <c r="N142" s="6">
        <v>249.99</v>
      </c>
    </row>
    <row r="143" spans="1:14" hidden="1">
      <c r="A143" s="4" t="s">
        <v>286</v>
      </c>
      <c r="B143" s="5">
        <v>45607</v>
      </c>
      <c r="C143" s="4" t="s">
        <v>76</v>
      </c>
      <c r="D143" s="4" t="s">
        <v>77</v>
      </c>
      <c r="E143" s="4" t="s">
        <v>57</v>
      </c>
      <c r="F143" s="4" t="s">
        <v>58</v>
      </c>
      <c r="G143" s="4" t="s">
        <v>6</v>
      </c>
      <c r="H143" s="4">
        <v>3</v>
      </c>
      <c r="I143" s="6">
        <v>149.99</v>
      </c>
      <c r="J143" s="4" t="s">
        <v>31</v>
      </c>
      <c r="K143" s="4" t="s">
        <v>11</v>
      </c>
      <c r="L143" s="4" t="s">
        <v>32</v>
      </c>
      <c r="M143" s="5">
        <v>44769</v>
      </c>
      <c r="N143" s="6">
        <v>449.97</v>
      </c>
    </row>
    <row r="144" spans="1:14" hidden="1">
      <c r="A144" s="4" t="s">
        <v>287</v>
      </c>
      <c r="B144" s="5">
        <v>45607</v>
      </c>
      <c r="C144" s="4" t="s">
        <v>27</v>
      </c>
      <c r="D144" s="4" t="s">
        <v>28</v>
      </c>
      <c r="E144" s="4" t="s">
        <v>41</v>
      </c>
      <c r="F144" s="4" t="s">
        <v>42</v>
      </c>
      <c r="G144" s="4" t="s">
        <v>5</v>
      </c>
      <c r="H144" s="4">
        <v>5</v>
      </c>
      <c r="I144" s="6">
        <v>59.99</v>
      </c>
      <c r="J144" s="4" t="s">
        <v>43</v>
      </c>
      <c r="K144" s="4" t="s">
        <v>13</v>
      </c>
      <c r="L144" s="4" t="s">
        <v>37</v>
      </c>
      <c r="M144" s="5">
        <v>44694</v>
      </c>
      <c r="N144" s="6">
        <v>299.95</v>
      </c>
    </row>
    <row r="145" spans="1:14" hidden="1">
      <c r="A145" s="4" t="s">
        <v>288</v>
      </c>
      <c r="B145" s="5">
        <v>45607</v>
      </c>
      <c r="C145" s="4" t="s">
        <v>103</v>
      </c>
      <c r="D145" s="4" t="s">
        <v>104</v>
      </c>
      <c r="E145" s="4" t="s">
        <v>29</v>
      </c>
      <c r="F145" s="4" t="s">
        <v>30</v>
      </c>
      <c r="G145" s="4" t="s">
        <v>6</v>
      </c>
      <c r="H145" s="4">
        <v>4</v>
      </c>
      <c r="I145" s="6">
        <v>249.99</v>
      </c>
      <c r="J145" s="4" t="s">
        <v>36</v>
      </c>
      <c r="K145" s="4" t="s">
        <v>13</v>
      </c>
      <c r="L145" s="4" t="s">
        <v>44</v>
      </c>
      <c r="M145" s="5">
        <v>44659</v>
      </c>
      <c r="N145" s="6">
        <v>999.96</v>
      </c>
    </row>
    <row r="146" spans="1:14" hidden="1">
      <c r="A146" s="4" t="s">
        <v>289</v>
      </c>
      <c r="B146" s="5">
        <v>45608</v>
      </c>
      <c r="C146" s="4" t="s">
        <v>158</v>
      </c>
      <c r="D146" s="4" t="s">
        <v>159</v>
      </c>
      <c r="E146" s="4" t="s">
        <v>51</v>
      </c>
      <c r="F146" s="4" t="s">
        <v>52</v>
      </c>
      <c r="G146" s="4" t="s">
        <v>7</v>
      </c>
      <c r="H146" s="4">
        <v>5</v>
      </c>
      <c r="I146" s="6">
        <v>149.99</v>
      </c>
      <c r="J146" s="4" t="s">
        <v>43</v>
      </c>
      <c r="K146" s="4" t="s">
        <v>9</v>
      </c>
      <c r="L146" s="4" t="s">
        <v>32</v>
      </c>
      <c r="M146" s="5">
        <v>44901</v>
      </c>
      <c r="N146" s="6">
        <v>749.95</v>
      </c>
    </row>
    <row r="147" spans="1:14" hidden="1">
      <c r="A147" s="4" t="s">
        <v>290</v>
      </c>
      <c r="B147" s="5">
        <v>45608</v>
      </c>
      <c r="C147" s="4" t="s">
        <v>87</v>
      </c>
      <c r="D147" s="4" t="s">
        <v>88</v>
      </c>
      <c r="E147" s="4" t="s">
        <v>41</v>
      </c>
      <c r="F147" s="4" t="s">
        <v>42</v>
      </c>
      <c r="G147" s="4" t="s">
        <v>5</v>
      </c>
      <c r="H147" s="4">
        <v>3</v>
      </c>
      <c r="I147" s="6">
        <v>59.99</v>
      </c>
      <c r="J147" s="4" t="s">
        <v>62</v>
      </c>
      <c r="K147" s="4" t="s">
        <v>12</v>
      </c>
      <c r="L147" s="4" t="s">
        <v>44</v>
      </c>
      <c r="M147" s="5">
        <v>45260</v>
      </c>
      <c r="N147" s="6">
        <v>179.97</v>
      </c>
    </row>
    <row r="148" spans="1:14" hidden="1">
      <c r="A148" s="4" t="s">
        <v>291</v>
      </c>
      <c r="B148" s="5">
        <v>45613</v>
      </c>
      <c r="C148" s="4" t="s">
        <v>238</v>
      </c>
      <c r="D148" s="4" t="s">
        <v>239</v>
      </c>
      <c r="E148" s="4" t="s">
        <v>51</v>
      </c>
      <c r="F148" s="4" t="s">
        <v>52</v>
      </c>
      <c r="G148" s="4" t="s">
        <v>7</v>
      </c>
      <c r="H148" s="4">
        <v>5</v>
      </c>
      <c r="I148" s="6">
        <v>149.99</v>
      </c>
      <c r="J148" s="4" t="s">
        <v>31</v>
      </c>
      <c r="K148" s="4" t="s">
        <v>11</v>
      </c>
      <c r="L148" s="4" t="s">
        <v>32</v>
      </c>
      <c r="M148" s="5">
        <v>44869</v>
      </c>
      <c r="N148" s="6">
        <v>749.95</v>
      </c>
    </row>
    <row r="149" spans="1:14" hidden="1">
      <c r="A149" s="4" t="s">
        <v>292</v>
      </c>
      <c r="B149" s="5">
        <v>45613</v>
      </c>
      <c r="C149" s="4" t="s">
        <v>90</v>
      </c>
      <c r="D149" s="4" t="s">
        <v>91</v>
      </c>
      <c r="E149" s="4" t="s">
        <v>84</v>
      </c>
      <c r="F149" s="4" t="s">
        <v>85</v>
      </c>
      <c r="G149" s="4" t="s">
        <v>6</v>
      </c>
      <c r="H149" s="4">
        <v>2</v>
      </c>
      <c r="I149" s="6">
        <v>699.99</v>
      </c>
      <c r="J149" s="4" t="s">
        <v>43</v>
      </c>
      <c r="K149" s="4" t="s">
        <v>13</v>
      </c>
      <c r="L149" s="4" t="s">
        <v>44</v>
      </c>
      <c r="M149" s="5">
        <v>44770</v>
      </c>
      <c r="N149" s="6">
        <v>1399.98</v>
      </c>
    </row>
    <row r="150" spans="1:14" hidden="1">
      <c r="A150" s="4" t="s">
        <v>293</v>
      </c>
      <c r="B150" s="5">
        <v>45617</v>
      </c>
      <c r="C150" s="4" t="s">
        <v>127</v>
      </c>
      <c r="D150" s="4" t="s">
        <v>128</v>
      </c>
      <c r="E150" s="4" t="s">
        <v>130</v>
      </c>
      <c r="F150" s="4" t="s">
        <v>131</v>
      </c>
      <c r="G150" s="4" t="s">
        <v>7</v>
      </c>
      <c r="H150" s="4">
        <v>4</v>
      </c>
      <c r="I150" s="6">
        <v>199.99</v>
      </c>
      <c r="J150" s="4" t="s">
        <v>62</v>
      </c>
      <c r="K150" s="4" t="s">
        <v>9</v>
      </c>
      <c r="L150" s="4" t="s">
        <v>37</v>
      </c>
      <c r="M150" s="5">
        <v>44427</v>
      </c>
      <c r="N150" s="6">
        <v>799.96</v>
      </c>
    </row>
    <row r="151" spans="1:14" hidden="1">
      <c r="A151" s="4" t="s">
        <v>294</v>
      </c>
      <c r="B151" s="5">
        <v>45619</v>
      </c>
      <c r="C151" s="4" t="s">
        <v>196</v>
      </c>
      <c r="D151" s="4" t="s">
        <v>197</v>
      </c>
      <c r="E151" s="4" t="s">
        <v>41</v>
      </c>
      <c r="F151" s="4" t="s">
        <v>42</v>
      </c>
      <c r="G151" s="4" t="s">
        <v>5</v>
      </c>
      <c r="H151" s="4">
        <v>1</v>
      </c>
      <c r="I151" s="6">
        <v>59.99</v>
      </c>
      <c r="J151" s="4" t="s">
        <v>62</v>
      </c>
      <c r="K151" s="4" t="s">
        <v>13</v>
      </c>
      <c r="L151" s="4" t="s">
        <v>44</v>
      </c>
      <c r="M151" s="5">
        <v>44560</v>
      </c>
      <c r="N151" s="6">
        <v>59.99</v>
      </c>
    </row>
    <row r="152" spans="1:14" hidden="1">
      <c r="A152" s="4" t="s">
        <v>295</v>
      </c>
      <c r="B152" s="5">
        <v>45619</v>
      </c>
      <c r="C152" s="4" t="s">
        <v>158</v>
      </c>
      <c r="D152" s="4" t="s">
        <v>159</v>
      </c>
      <c r="E152" s="4" t="s">
        <v>84</v>
      </c>
      <c r="F152" s="4" t="s">
        <v>85</v>
      </c>
      <c r="G152" s="4" t="s">
        <v>6</v>
      </c>
      <c r="H152" s="4">
        <v>3</v>
      </c>
      <c r="I152" s="6">
        <v>699.99</v>
      </c>
      <c r="J152" s="4" t="s">
        <v>43</v>
      </c>
      <c r="K152" s="4" t="s">
        <v>13</v>
      </c>
      <c r="L152" s="4" t="s">
        <v>44</v>
      </c>
      <c r="M152" s="5">
        <v>44583</v>
      </c>
      <c r="N152" s="6">
        <v>2099.9699999999998</v>
      </c>
    </row>
    <row r="153" spans="1:14" hidden="1">
      <c r="A153" s="4" t="s">
        <v>296</v>
      </c>
      <c r="B153" s="5">
        <v>45622</v>
      </c>
      <c r="C153" s="4" t="s">
        <v>297</v>
      </c>
      <c r="D153" s="4" t="s">
        <v>298</v>
      </c>
      <c r="E153" s="4" t="s">
        <v>29</v>
      </c>
      <c r="F153" s="4" t="s">
        <v>30</v>
      </c>
      <c r="G153" s="4" t="s">
        <v>6</v>
      </c>
      <c r="H153" s="4">
        <v>5</v>
      </c>
      <c r="I153" s="6">
        <v>249.99</v>
      </c>
      <c r="J153" s="4" t="s">
        <v>36</v>
      </c>
      <c r="K153" s="4" t="s">
        <v>11</v>
      </c>
      <c r="L153" s="4" t="s">
        <v>32</v>
      </c>
      <c r="M153" s="5">
        <v>44873</v>
      </c>
      <c r="N153" s="6">
        <v>1249.95</v>
      </c>
    </row>
    <row r="154" spans="1:14" hidden="1">
      <c r="A154" s="4" t="s">
        <v>299</v>
      </c>
      <c r="B154" s="5">
        <v>45623</v>
      </c>
      <c r="C154" s="4" t="s">
        <v>116</v>
      </c>
      <c r="D154" s="4" t="s">
        <v>117</v>
      </c>
      <c r="E154" s="4" t="s">
        <v>51</v>
      </c>
      <c r="F154" s="4" t="s">
        <v>52</v>
      </c>
      <c r="G154" s="4" t="s">
        <v>7</v>
      </c>
      <c r="H154" s="4">
        <v>2</v>
      </c>
      <c r="I154" s="6">
        <v>149.99</v>
      </c>
      <c r="J154" s="4" t="s">
        <v>31</v>
      </c>
      <c r="K154" s="4" t="s">
        <v>12</v>
      </c>
      <c r="L154" s="4" t="s">
        <v>44</v>
      </c>
      <c r="M154" s="5">
        <v>45101</v>
      </c>
      <c r="N154" s="6">
        <v>299.98</v>
      </c>
    </row>
    <row r="155" spans="1:14" hidden="1">
      <c r="A155" s="4" t="s">
        <v>300</v>
      </c>
      <c r="B155" s="5">
        <v>45627</v>
      </c>
      <c r="C155" s="4" t="s">
        <v>39</v>
      </c>
      <c r="D155" s="4" t="s">
        <v>40</v>
      </c>
      <c r="E155" s="4" t="s">
        <v>109</v>
      </c>
      <c r="F155" s="4" t="s">
        <v>110</v>
      </c>
      <c r="G155" s="4" t="s">
        <v>7</v>
      </c>
      <c r="H155" s="4">
        <v>3</v>
      </c>
      <c r="I155" s="6">
        <v>299.99</v>
      </c>
      <c r="J155" s="4" t="s">
        <v>31</v>
      </c>
      <c r="K155" s="4" t="s">
        <v>12</v>
      </c>
      <c r="L155" s="4" t="s">
        <v>37</v>
      </c>
      <c r="M155" s="5">
        <v>44659</v>
      </c>
      <c r="N155" s="6">
        <v>899.97</v>
      </c>
    </row>
    <row r="156" spans="1:14" hidden="1">
      <c r="A156" s="4" t="s">
        <v>301</v>
      </c>
      <c r="B156" s="5">
        <v>45627</v>
      </c>
      <c r="C156" s="4" t="s">
        <v>60</v>
      </c>
      <c r="D156" s="4" t="s">
        <v>61</v>
      </c>
      <c r="E156" s="4" t="s">
        <v>29</v>
      </c>
      <c r="F156" s="4" t="s">
        <v>30</v>
      </c>
      <c r="G156" s="4" t="s">
        <v>6</v>
      </c>
      <c r="H156" s="4">
        <v>5</v>
      </c>
      <c r="I156" s="6">
        <v>249.99</v>
      </c>
      <c r="J156" s="4" t="s">
        <v>31</v>
      </c>
      <c r="K156" s="4" t="s">
        <v>9</v>
      </c>
      <c r="L156" s="4" t="s">
        <v>37</v>
      </c>
      <c r="M156" s="5">
        <v>44485</v>
      </c>
      <c r="N156" s="6">
        <v>1249.95</v>
      </c>
    </row>
    <row r="157" spans="1:14" hidden="1">
      <c r="A157" s="4" t="s">
        <v>302</v>
      </c>
      <c r="B157" s="5">
        <v>45627</v>
      </c>
      <c r="C157" s="4" t="s">
        <v>34</v>
      </c>
      <c r="D157" s="4" t="s">
        <v>35</v>
      </c>
      <c r="E157" s="4" t="s">
        <v>57</v>
      </c>
      <c r="F157" s="4" t="s">
        <v>58</v>
      </c>
      <c r="G157" s="4" t="s">
        <v>6</v>
      </c>
      <c r="H157" s="4">
        <v>2</v>
      </c>
      <c r="I157" s="6">
        <v>149.99</v>
      </c>
      <c r="J157" s="4" t="s">
        <v>31</v>
      </c>
      <c r="K157" s="4" t="s">
        <v>12</v>
      </c>
      <c r="L157" s="4" t="s">
        <v>37</v>
      </c>
      <c r="M157" s="5">
        <v>44475</v>
      </c>
      <c r="N157" s="6">
        <v>299.98</v>
      </c>
    </row>
    <row r="158" spans="1:14" hidden="1">
      <c r="A158" s="4" t="s">
        <v>303</v>
      </c>
      <c r="B158" s="5">
        <v>45627</v>
      </c>
      <c r="C158" s="4" t="s">
        <v>90</v>
      </c>
      <c r="D158" s="4" t="s">
        <v>91</v>
      </c>
      <c r="E158" s="4" t="s">
        <v>84</v>
      </c>
      <c r="F158" s="4" t="s">
        <v>85</v>
      </c>
      <c r="G158" s="4" t="s">
        <v>6</v>
      </c>
      <c r="H158" s="4">
        <v>5</v>
      </c>
      <c r="I158" s="6">
        <v>699.99</v>
      </c>
      <c r="J158" s="4" t="s">
        <v>62</v>
      </c>
      <c r="K158" s="4" t="s">
        <v>13</v>
      </c>
      <c r="L158" s="4" t="s">
        <v>44</v>
      </c>
      <c r="M158" s="5">
        <v>44944</v>
      </c>
      <c r="N158" s="6">
        <v>3499.95</v>
      </c>
    </row>
    <row r="159" spans="1:14">
      <c r="A159" s="4" t="s">
        <v>304</v>
      </c>
      <c r="B159" s="5">
        <v>45629</v>
      </c>
      <c r="C159" s="4" t="s">
        <v>256</v>
      </c>
      <c r="D159" s="4" t="s">
        <v>257</v>
      </c>
      <c r="E159" s="4" t="s">
        <v>29</v>
      </c>
      <c r="F159" s="4" t="s">
        <v>30</v>
      </c>
      <c r="G159" s="4" t="s">
        <v>6</v>
      </c>
      <c r="H159" s="4">
        <v>4</v>
      </c>
      <c r="I159" s="6">
        <v>249.99</v>
      </c>
      <c r="J159" s="4" t="s">
        <v>43</v>
      </c>
      <c r="K159" s="4" t="s">
        <v>10</v>
      </c>
      <c r="L159" s="4" t="s">
        <v>37</v>
      </c>
      <c r="M159" s="5">
        <v>45098</v>
      </c>
      <c r="N159" s="6">
        <v>999.96</v>
      </c>
    </row>
    <row r="160" spans="1:14" hidden="1">
      <c r="A160" s="4" t="s">
        <v>305</v>
      </c>
      <c r="B160" s="5">
        <v>45630</v>
      </c>
      <c r="C160" s="4" t="s">
        <v>54</v>
      </c>
      <c r="D160" s="4" t="s">
        <v>55</v>
      </c>
      <c r="E160" s="4" t="s">
        <v>84</v>
      </c>
      <c r="F160" s="4" t="s">
        <v>85</v>
      </c>
      <c r="G160" s="4" t="s">
        <v>6</v>
      </c>
      <c r="H160" s="4">
        <v>4</v>
      </c>
      <c r="I160" s="6">
        <v>699.99</v>
      </c>
      <c r="J160" s="4" t="s">
        <v>36</v>
      </c>
      <c r="K160" s="4" t="s">
        <v>11</v>
      </c>
      <c r="L160" s="4" t="s">
        <v>37</v>
      </c>
      <c r="M160" s="5">
        <v>44703</v>
      </c>
      <c r="N160" s="6">
        <v>2799.96</v>
      </c>
    </row>
    <row r="161" spans="1:14" hidden="1">
      <c r="A161" s="4" t="s">
        <v>306</v>
      </c>
      <c r="B161" s="5">
        <v>45635</v>
      </c>
      <c r="C161" s="4" t="s">
        <v>112</v>
      </c>
      <c r="D161" s="4" t="s">
        <v>113</v>
      </c>
      <c r="E161" s="4" t="s">
        <v>29</v>
      </c>
      <c r="F161" s="4" t="s">
        <v>30</v>
      </c>
      <c r="G161" s="4" t="s">
        <v>6</v>
      </c>
      <c r="H161" s="4">
        <v>2</v>
      </c>
      <c r="I161" s="6">
        <v>249.99</v>
      </c>
      <c r="J161" s="4" t="s">
        <v>36</v>
      </c>
      <c r="K161" s="4" t="s">
        <v>9</v>
      </c>
      <c r="L161" s="4" t="s">
        <v>37</v>
      </c>
      <c r="M161" s="5">
        <v>44396</v>
      </c>
      <c r="N161" s="6">
        <v>499.98</v>
      </c>
    </row>
    <row r="162" spans="1:14" hidden="1">
      <c r="A162" s="4" t="s">
        <v>307</v>
      </c>
      <c r="B162" s="5">
        <v>45635</v>
      </c>
      <c r="C162" s="4" t="s">
        <v>308</v>
      </c>
      <c r="D162" s="4" t="s">
        <v>309</v>
      </c>
      <c r="E162" s="4" t="s">
        <v>41</v>
      </c>
      <c r="F162" s="4" t="s">
        <v>42</v>
      </c>
      <c r="G162" s="4" t="s">
        <v>5</v>
      </c>
      <c r="H162" s="4">
        <v>3</v>
      </c>
      <c r="I162" s="6">
        <v>59.99</v>
      </c>
      <c r="J162" s="4" t="s">
        <v>31</v>
      </c>
      <c r="K162" s="4" t="s">
        <v>9</v>
      </c>
      <c r="L162" s="4" t="s">
        <v>37</v>
      </c>
      <c r="M162" s="5">
        <v>45052</v>
      </c>
      <c r="N162" s="6">
        <v>179.97</v>
      </c>
    </row>
    <row r="163" spans="1:14" hidden="1">
      <c r="A163" s="4" t="s">
        <v>310</v>
      </c>
      <c r="B163" s="5">
        <v>45635</v>
      </c>
      <c r="C163" s="4" t="s">
        <v>145</v>
      </c>
      <c r="D163" s="4" t="s">
        <v>146</v>
      </c>
      <c r="E163" s="4" t="s">
        <v>118</v>
      </c>
      <c r="F163" s="4" t="s">
        <v>119</v>
      </c>
      <c r="G163" s="4" t="s">
        <v>5</v>
      </c>
      <c r="H163" s="4">
        <v>4</v>
      </c>
      <c r="I163" s="6">
        <v>79.989999999999995</v>
      </c>
      <c r="J163" s="4" t="s">
        <v>62</v>
      </c>
      <c r="K163" s="4" t="s">
        <v>10</v>
      </c>
      <c r="L163" s="4" t="s">
        <v>44</v>
      </c>
      <c r="M163" s="5">
        <v>44921</v>
      </c>
      <c r="N163" s="6">
        <v>319.95999999999998</v>
      </c>
    </row>
    <row r="164" spans="1:14" hidden="1">
      <c r="A164" s="4" t="s">
        <v>311</v>
      </c>
      <c r="B164" s="5">
        <v>45636</v>
      </c>
      <c r="C164" s="4" t="s">
        <v>124</v>
      </c>
      <c r="D164" s="4" t="s">
        <v>125</v>
      </c>
      <c r="E164" s="4" t="s">
        <v>118</v>
      </c>
      <c r="F164" s="4" t="s">
        <v>119</v>
      </c>
      <c r="G164" s="4" t="s">
        <v>5</v>
      </c>
      <c r="H164" s="4">
        <v>3</v>
      </c>
      <c r="I164" s="6">
        <v>79.989999999999995</v>
      </c>
      <c r="J164" s="4" t="s">
        <v>62</v>
      </c>
      <c r="K164" s="4" t="s">
        <v>10</v>
      </c>
      <c r="L164" s="4" t="s">
        <v>44</v>
      </c>
      <c r="M164" s="5">
        <v>44779</v>
      </c>
      <c r="N164" s="6">
        <v>239.97</v>
      </c>
    </row>
    <row r="165" spans="1:14" hidden="1">
      <c r="A165" s="4" t="s">
        <v>312</v>
      </c>
      <c r="B165" s="5">
        <v>45638</v>
      </c>
      <c r="C165" s="4" t="s">
        <v>76</v>
      </c>
      <c r="D165" s="4" t="s">
        <v>77</v>
      </c>
      <c r="E165" s="4" t="s">
        <v>66</v>
      </c>
      <c r="F165" s="4" t="s">
        <v>67</v>
      </c>
      <c r="G165" s="4" t="s">
        <v>6</v>
      </c>
      <c r="H165" s="4">
        <v>2</v>
      </c>
      <c r="I165" s="6">
        <v>899.99</v>
      </c>
      <c r="J165" s="4" t="s">
        <v>31</v>
      </c>
      <c r="K165" s="4" t="s">
        <v>11</v>
      </c>
      <c r="L165" s="4" t="s">
        <v>32</v>
      </c>
      <c r="M165" s="5">
        <v>44406</v>
      </c>
      <c r="N165" s="6">
        <v>1799.98</v>
      </c>
    </row>
    <row r="166" spans="1:14" hidden="1">
      <c r="A166" s="4" t="s">
        <v>313</v>
      </c>
      <c r="B166" s="5">
        <v>45641</v>
      </c>
      <c r="C166" s="4" t="s">
        <v>186</v>
      </c>
      <c r="D166" s="4" t="s">
        <v>187</v>
      </c>
      <c r="E166" s="4" t="s">
        <v>51</v>
      </c>
      <c r="F166" s="4" t="s">
        <v>52</v>
      </c>
      <c r="G166" s="4" t="s">
        <v>7</v>
      </c>
      <c r="H166" s="4">
        <v>1</v>
      </c>
      <c r="I166" s="6">
        <v>149.99</v>
      </c>
      <c r="J166" s="4" t="s">
        <v>62</v>
      </c>
      <c r="K166" s="4" t="s">
        <v>10</v>
      </c>
      <c r="L166" s="4" t="s">
        <v>44</v>
      </c>
      <c r="M166" s="5">
        <v>45200</v>
      </c>
      <c r="N166" s="6">
        <v>149.99</v>
      </c>
    </row>
    <row r="167" spans="1:14" hidden="1">
      <c r="A167" s="4" t="s">
        <v>314</v>
      </c>
      <c r="B167" s="5">
        <v>45641</v>
      </c>
      <c r="C167" s="4" t="s">
        <v>142</v>
      </c>
      <c r="D167" s="4" t="s">
        <v>143</v>
      </c>
      <c r="E167" s="4" t="s">
        <v>109</v>
      </c>
      <c r="F167" s="4" t="s">
        <v>110</v>
      </c>
      <c r="G167" s="4" t="s">
        <v>7</v>
      </c>
      <c r="H167" s="4">
        <v>2</v>
      </c>
      <c r="I167" s="6">
        <v>299.99</v>
      </c>
      <c r="J167" s="4" t="s">
        <v>31</v>
      </c>
      <c r="K167" s="4" t="s">
        <v>10</v>
      </c>
      <c r="L167" s="4" t="s">
        <v>37</v>
      </c>
      <c r="M167" s="5">
        <v>44724</v>
      </c>
      <c r="N167" s="6">
        <v>599.98</v>
      </c>
    </row>
    <row r="168" spans="1:14" hidden="1">
      <c r="A168" s="4" t="s">
        <v>315</v>
      </c>
      <c r="B168" s="5">
        <v>45644</v>
      </c>
      <c r="C168" s="4" t="s">
        <v>136</v>
      </c>
      <c r="D168" s="4" t="s">
        <v>137</v>
      </c>
      <c r="E168" s="4" t="s">
        <v>41</v>
      </c>
      <c r="F168" s="4" t="s">
        <v>42</v>
      </c>
      <c r="G168" s="4" t="s">
        <v>5</v>
      </c>
      <c r="H168" s="4">
        <v>2</v>
      </c>
      <c r="I168" s="6">
        <v>59.99</v>
      </c>
      <c r="J168" s="4" t="s">
        <v>31</v>
      </c>
      <c r="K168" s="4" t="s">
        <v>13</v>
      </c>
      <c r="L168" s="4" t="s">
        <v>32</v>
      </c>
      <c r="M168" s="5">
        <v>45191</v>
      </c>
      <c r="N168" s="6">
        <v>119.98</v>
      </c>
    </row>
    <row r="169" spans="1:14" hidden="1">
      <c r="A169" s="4" t="s">
        <v>316</v>
      </c>
      <c r="B169" s="5">
        <v>45645</v>
      </c>
      <c r="C169" s="4" t="s">
        <v>186</v>
      </c>
      <c r="D169" s="4" t="s">
        <v>187</v>
      </c>
      <c r="E169" s="4" t="s">
        <v>121</v>
      </c>
      <c r="F169" s="4" t="s">
        <v>122</v>
      </c>
      <c r="G169" s="4" t="s">
        <v>6</v>
      </c>
      <c r="H169" s="4">
        <v>1</v>
      </c>
      <c r="I169" s="6">
        <v>89.99</v>
      </c>
      <c r="J169" s="4" t="s">
        <v>62</v>
      </c>
      <c r="K169" s="4" t="s">
        <v>9</v>
      </c>
      <c r="L169" s="4" t="s">
        <v>44</v>
      </c>
      <c r="M169" s="5">
        <v>44760</v>
      </c>
      <c r="N169" s="6">
        <v>89.99</v>
      </c>
    </row>
    <row r="170" spans="1:14">
      <c r="A170" s="4" t="s">
        <v>317</v>
      </c>
      <c r="B170" s="5">
        <v>45645</v>
      </c>
      <c r="C170" s="4" t="s">
        <v>151</v>
      </c>
      <c r="D170" s="4" t="s">
        <v>152</v>
      </c>
      <c r="E170" s="4" t="s">
        <v>66</v>
      </c>
      <c r="F170" s="4" t="s">
        <v>67</v>
      </c>
      <c r="G170" s="4" t="s">
        <v>6</v>
      </c>
      <c r="H170" s="4">
        <v>5</v>
      </c>
      <c r="I170" s="6">
        <v>899.99</v>
      </c>
      <c r="J170" s="4" t="s">
        <v>62</v>
      </c>
      <c r="K170" s="4" t="s">
        <v>10</v>
      </c>
      <c r="L170" s="4" t="s">
        <v>44</v>
      </c>
      <c r="M170" s="5">
        <v>44625</v>
      </c>
      <c r="N170" s="6">
        <v>4499.95</v>
      </c>
    </row>
    <row r="171" spans="1:14" hidden="1">
      <c r="A171" s="4" t="s">
        <v>318</v>
      </c>
      <c r="B171" s="5">
        <v>45646</v>
      </c>
      <c r="C171" s="4" t="s">
        <v>49</v>
      </c>
      <c r="D171" s="4" t="s">
        <v>50</v>
      </c>
      <c r="E171" s="4" t="s">
        <v>51</v>
      </c>
      <c r="F171" s="4" t="s">
        <v>52</v>
      </c>
      <c r="G171" s="4" t="s">
        <v>7</v>
      </c>
      <c r="H171" s="4">
        <v>2</v>
      </c>
      <c r="I171" s="6">
        <v>149.99</v>
      </c>
      <c r="J171" s="4" t="s">
        <v>31</v>
      </c>
      <c r="K171" s="4" t="s">
        <v>12</v>
      </c>
      <c r="L171" s="4" t="s">
        <v>32</v>
      </c>
      <c r="M171" s="5">
        <v>45239</v>
      </c>
      <c r="N171" s="6">
        <v>299.98</v>
      </c>
    </row>
    <row r="172" spans="1:14" hidden="1">
      <c r="A172" s="4" t="s">
        <v>319</v>
      </c>
      <c r="B172" s="5">
        <v>45648</v>
      </c>
      <c r="C172" s="4" t="s">
        <v>116</v>
      </c>
      <c r="D172" s="4" t="s">
        <v>117</v>
      </c>
      <c r="E172" s="4" t="s">
        <v>57</v>
      </c>
      <c r="F172" s="4" t="s">
        <v>58</v>
      </c>
      <c r="G172" s="4" t="s">
        <v>6</v>
      </c>
      <c r="H172" s="4">
        <v>2</v>
      </c>
      <c r="I172" s="6">
        <v>149.99</v>
      </c>
      <c r="J172" s="4" t="s">
        <v>62</v>
      </c>
      <c r="K172" s="4" t="s">
        <v>13</v>
      </c>
      <c r="L172" s="4" t="s">
        <v>37</v>
      </c>
      <c r="M172" s="5">
        <v>45280</v>
      </c>
      <c r="N172" s="6">
        <v>299.98</v>
      </c>
    </row>
    <row r="173" spans="1:14" hidden="1">
      <c r="A173" s="4" t="s">
        <v>320</v>
      </c>
      <c r="B173" s="5">
        <v>45648</v>
      </c>
      <c r="C173" s="4" t="s">
        <v>186</v>
      </c>
      <c r="D173" s="4" t="s">
        <v>187</v>
      </c>
      <c r="E173" s="4" t="s">
        <v>51</v>
      </c>
      <c r="F173" s="4" t="s">
        <v>52</v>
      </c>
      <c r="G173" s="4" t="s">
        <v>7</v>
      </c>
      <c r="H173" s="4">
        <v>3</v>
      </c>
      <c r="I173" s="6">
        <v>149.99</v>
      </c>
      <c r="J173" s="4" t="s">
        <v>62</v>
      </c>
      <c r="K173" s="4" t="s">
        <v>11</v>
      </c>
      <c r="L173" s="4" t="s">
        <v>44</v>
      </c>
      <c r="M173" s="5">
        <v>44522</v>
      </c>
      <c r="N173" s="6">
        <v>449.97</v>
      </c>
    </row>
    <row r="174" spans="1:14" hidden="1">
      <c r="A174" s="4" t="s">
        <v>321</v>
      </c>
      <c r="B174" s="5">
        <v>45649</v>
      </c>
      <c r="C174" s="4" t="s">
        <v>39</v>
      </c>
      <c r="D174" s="4" t="s">
        <v>40</v>
      </c>
      <c r="E174" s="4" t="s">
        <v>109</v>
      </c>
      <c r="F174" s="4" t="s">
        <v>110</v>
      </c>
      <c r="G174" s="4" t="s">
        <v>7</v>
      </c>
      <c r="H174" s="4">
        <v>2</v>
      </c>
      <c r="I174" s="6">
        <v>299.99</v>
      </c>
      <c r="J174" s="4" t="s">
        <v>43</v>
      </c>
      <c r="K174" s="4" t="s">
        <v>12</v>
      </c>
      <c r="L174" s="4" t="s">
        <v>32</v>
      </c>
      <c r="M174" s="5">
        <v>44721</v>
      </c>
      <c r="N174" s="6">
        <v>599.98</v>
      </c>
    </row>
    <row r="175" spans="1:14" hidden="1">
      <c r="A175" s="4" t="s">
        <v>322</v>
      </c>
      <c r="B175" s="5">
        <v>45654</v>
      </c>
      <c r="C175" s="4" t="s">
        <v>49</v>
      </c>
      <c r="D175" s="4" t="s">
        <v>50</v>
      </c>
      <c r="E175" s="4" t="s">
        <v>109</v>
      </c>
      <c r="F175" s="4" t="s">
        <v>110</v>
      </c>
      <c r="G175" s="4" t="s">
        <v>7</v>
      </c>
      <c r="H175" s="4">
        <v>2</v>
      </c>
      <c r="I175" s="6">
        <v>299.99</v>
      </c>
      <c r="J175" s="4" t="s">
        <v>31</v>
      </c>
      <c r="K175" s="4" t="s">
        <v>13</v>
      </c>
      <c r="L175" s="4" t="s">
        <v>32</v>
      </c>
      <c r="M175" s="5">
        <v>44771</v>
      </c>
      <c r="N175" s="6">
        <v>599.98</v>
      </c>
    </row>
    <row r="176" spans="1:14" hidden="1">
      <c r="A176" s="4" t="s">
        <v>323</v>
      </c>
      <c r="B176" s="5">
        <v>45654</v>
      </c>
      <c r="C176" s="4" t="s">
        <v>124</v>
      </c>
      <c r="D176" s="4" t="s">
        <v>125</v>
      </c>
      <c r="E176" s="4" t="s">
        <v>130</v>
      </c>
      <c r="F176" s="4" t="s">
        <v>131</v>
      </c>
      <c r="G176" s="4" t="s">
        <v>7</v>
      </c>
      <c r="H176" s="4">
        <v>4</v>
      </c>
      <c r="I176" s="6">
        <v>199.99</v>
      </c>
      <c r="J176" s="4" t="s">
        <v>36</v>
      </c>
      <c r="K176" s="4" t="s">
        <v>9</v>
      </c>
      <c r="L176" s="4" t="s">
        <v>32</v>
      </c>
      <c r="M176" s="5">
        <v>44523</v>
      </c>
      <c r="N176" s="6">
        <v>799.96</v>
      </c>
    </row>
    <row r="177" spans="1:14" hidden="1">
      <c r="A177" s="4" t="s">
        <v>324</v>
      </c>
      <c r="B177" s="5">
        <v>45655</v>
      </c>
      <c r="C177" s="4" t="s">
        <v>64</v>
      </c>
      <c r="D177" s="4" t="s">
        <v>65</v>
      </c>
      <c r="E177" s="4" t="s">
        <v>121</v>
      </c>
      <c r="F177" s="4" t="s">
        <v>122</v>
      </c>
      <c r="G177" s="4" t="s">
        <v>6</v>
      </c>
      <c r="H177" s="4">
        <v>1</v>
      </c>
      <c r="I177" s="6">
        <v>89.99</v>
      </c>
      <c r="J177" s="4" t="s">
        <v>36</v>
      </c>
      <c r="K177" s="4" t="s">
        <v>12</v>
      </c>
      <c r="L177" s="4" t="s">
        <v>37</v>
      </c>
      <c r="M177" s="5">
        <v>44591</v>
      </c>
      <c r="N177" s="6">
        <v>89.99</v>
      </c>
    </row>
    <row r="178" spans="1:14" hidden="1">
      <c r="A178" s="4" t="s">
        <v>325</v>
      </c>
      <c r="B178" s="5">
        <v>45655</v>
      </c>
      <c r="C178" s="4" t="s">
        <v>112</v>
      </c>
      <c r="D178" s="4" t="s">
        <v>113</v>
      </c>
      <c r="E178" s="4" t="s">
        <v>51</v>
      </c>
      <c r="F178" s="4" t="s">
        <v>52</v>
      </c>
      <c r="G178" s="4" t="s">
        <v>7</v>
      </c>
      <c r="H178" s="4">
        <v>5</v>
      </c>
      <c r="I178" s="6">
        <v>149.99</v>
      </c>
      <c r="J178" s="4" t="s">
        <v>31</v>
      </c>
      <c r="K178" s="4" t="s">
        <v>9</v>
      </c>
      <c r="L178" s="4" t="s">
        <v>37</v>
      </c>
      <c r="M178" s="5">
        <v>45347</v>
      </c>
      <c r="N178" s="6">
        <v>749.95</v>
      </c>
    </row>
    <row r="179" spans="1:14" hidden="1">
      <c r="A179" s="4" t="s">
        <v>326</v>
      </c>
      <c r="B179" s="5">
        <v>45657</v>
      </c>
      <c r="C179" s="4" t="s">
        <v>90</v>
      </c>
      <c r="D179" s="4" t="s">
        <v>91</v>
      </c>
      <c r="E179" s="4" t="s">
        <v>66</v>
      </c>
      <c r="F179" s="4" t="s">
        <v>67</v>
      </c>
      <c r="G179" s="4" t="s">
        <v>6</v>
      </c>
      <c r="H179" s="4">
        <v>1</v>
      </c>
      <c r="I179" s="6">
        <v>899.99</v>
      </c>
      <c r="J179" s="4" t="s">
        <v>43</v>
      </c>
      <c r="K179" s="4" t="s">
        <v>11</v>
      </c>
      <c r="L179" s="4" t="s">
        <v>37</v>
      </c>
      <c r="M179" s="5">
        <v>45050</v>
      </c>
      <c r="N179" s="6">
        <v>899.99</v>
      </c>
    </row>
    <row r="180" spans="1:14" hidden="1">
      <c r="A180" s="4" t="s">
        <v>327</v>
      </c>
      <c r="B180" s="5">
        <v>45660</v>
      </c>
      <c r="C180" s="4" t="s">
        <v>151</v>
      </c>
      <c r="D180" s="4" t="s">
        <v>152</v>
      </c>
      <c r="E180" s="4" t="s">
        <v>121</v>
      </c>
      <c r="F180" s="4" t="s">
        <v>122</v>
      </c>
      <c r="G180" s="4" t="s">
        <v>6</v>
      </c>
      <c r="H180" s="4">
        <v>2</v>
      </c>
      <c r="I180" s="6">
        <v>89.99</v>
      </c>
      <c r="J180" s="4" t="s">
        <v>36</v>
      </c>
      <c r="K180" s="4" t="s">
        <v>12</v>
      </c>
      <c r="L180" s="4" t="s">
        <v>37</v>
      </c>
      <c r="M180" s="5">
        <v>44564</v>
      </c>
      <c r="N180" s="6">
        <v>179.98</v>
      </c>
    </row>
    <row r="181" spans="1:14" hidden="1">
      <c r="A181" s="4" t="s">
        <v>328</v>
      </c>
      <c r="B181" s="5">
        <v>45661</v>
      </c>
      <c r="C181" s="4" t="s">
        <v>329</v>
      </c>
      <c r="D181" s="4" t="s">
        <v>330</v>
      </c>
      <c r="E181" s="4" t="s">
        <v>66</v>
      </c>
      <c r="F181" s="4" t="s">
        <v>67</v>
      </c>
      <c r="G181" s="4" t="s">
        <v>6</v>
      </c>
      <c r="H181" s="4">
        <v>1</v>
      </c>
      <c r="I181" s="6">
        <v>899.99</v>
      </c>
      <c r="J181" s="4" t="s">
        <v>43</v>
      </c>
      <c r="K181" s="4" t="s">
        <v>11</v>
      </c>
      <c r="L181" s="4" t="s">
        <v>44</v>
      </c>
      <c r="M181" s="5">
        <v>44752</v>
      </c>
      <c r="N181" s="6">
        <v>899.99</v>
      </c>
    </row>
    <row r="182" spans="1:14">
      <c r="A182" s="4" t="s">
        <v>331</v>
      </c>
      <c r="B182" s="5">
        <v>45663</v>
      </c>
      <c r="C182" s="4" t="s">
        <v>133</v>
      </c>
      <c r="D182" s="4" t="s">
        <v>134</v>
      </c>
      <c r="E182" s="4" t="s">
        <v>57</v>
      </c>
      <c r="F182" s="4" t="s">
        <v>58</v>
      </c>
      <c r="G182" s="4" t="s">
        <v>6</v>
      </c>
      <c r="H182" s="4">
        <v>5</v>
      </c>
      <c r="I182" s="6">
        <v>149.99</v>
      </c>
      <c r="J182" s="4" t="s">
        <v>43</v>
      </c>
      <c r="K182" s="4" t="s">
        <v>10</v>
      </c>
      <c r="L182" s="4" t="s">
        <v>37</v>
      </c>
      <c r="M182" s="5">
        <v>44824</v>
      </c>
      <c r="N182" s="6">
        <v>749.95</v>
      </c>
    </row>
    <row r="183" spans="1:14" hidden="1">
      <c r="A183" s="4" t="s">
        <v>332</v>
      </c>
      <c r="B183" s="5">
        <v>45663</v>
      </c>
      <c r="C183" s="4" t="s">
        <v>49</v>
      </c>
      <c r="D183" s="4" t="s">
        <v>50</v>
      </c>
      <c r="E183" s="4" t="s">
        <v>109</v>
      </c>
      <c r="F183" s="4" t="s">
        <v>110</v>
      </c>
      <c r="G183" s="4" t="s">
        <v>7</v>
      </c>
      <c r="H183" s="4">
        <v>3</v>
      </c>
      <c r="I183" s="6">
        <v>299.99</v>
      </c>
      <c r="J183" s="4" t="s">
        <v>31</v>
      </c>
      <c r="K183" s="4" t="s">
        <v>12</v>
      </c>
      <c r="L183" s="4" t="s">
        <v>44</v>
      </c>
      <c r="M183" s="5">
        <v>44422</v>
      </c>
      <c r="N183" s="6">
        <v>899.97</v>
      </c>
    </row>
    <row r="184" spans="1:14" hidden="1">
      <c r="A184" s="4" t="s">
        <v>333</v>
      </c>
      <c r="B184" s="5">
        <v>45666</v>
      </c>
      <c r="C184" s="4" t="s">
        <v>69</v>
      </c>
      <c r="D184" s="4" t="s">
        <v>70</v>
      </c>
      <c r="E184" s="4" t="s">
        <v>84</v>
      </c>
      <c r="F184" s="4" t="s">
        <v>85</v>
      </c>
      <c r="G184" s="4" t="s">
        <v>6</v>
      </c>
      <c r="H184" s="4">
        <v>3</v>
      </c>
      <c r="I184" s="6">
        <v>699.99</v>
      </c>
      <c r="J184" s="4" t="s">
        <v>36</v>
      </c>
      <c r="K184" s="4" t="s">
        <v>9</v>
      </c>
      <c r="L184" s="4" t="s">
        <v>37</v>
      </c>
      <c r="M184" s="5">
        <v>45105</v>
      </c>
      <c r="N184" s="6">
        <v>2099.9699999999998</v>
      </c>
    </row>
    <row r="185" spans="1:14" hidden="1">
      <c r="A185" s="4" t="s">
        <v>334</v>
      </c>
      <c r="B185" s="5">
        <v>45667</v>
      </c>
      <c r="C185" s="4" t="s">
        <v>112</v>
      </c>
      <c r="D185" s="4" t="s">
        <v>113</v>
      </c>
      <c r="E185" s="4" t="s">
        <v>130</v>
      </c>
      <c r="F185" s="4" t="s">
        <v>131</v>
      </c>
      <c r="G185" s="4" t="s">
        <v>7</v>
      </c>
      <c r="H185" s="4">
        <v>5</v>
      </c>
      <c r="I185" s="6">
        <v>199.99</v>
      </c>
      <c r="J185" s="4" t="s">
        <v>43</v>
      </c>
      <c r="K185" s="4" t="s">
        <v>9</v>
      </c>
      <c r="L185" s="4" t="s">
        <v>44</v>
      </c>
      <c r="M185" s="5">
        <v>44633</v>
      </c>
      <c r="N185" s="6">
        <v>999.95</v>
      </c>
    </row>
    <row r="186" spans="1:14" hidden="1">
      <c r="A186" s="4" t="s">
        <v>335</v>
      </c>
      <c r="B186" s="5">
        <v>45667</v>
      </c>
      <c r="C186" s="4" t="s">
        <v>97</v>
      </c>
      <c r="D186" s="4" t="s">
        <v>98</v>
      </c>
      <c r="E186" s="4" t="s">
        <v>29</v>
      </c>
      <c r="F186" s="4" t="s">
        <v>30</v>
      </c>
      <c r="G186" s="4" t="s">
        <v>6</v>
      </c>
      <c r="H186" s="4">
        <v>5</v>
      </c>
      <c r="I186" s="6">
        <v>249.99</v>
      </c>
      <c r="J186" s="4" t="s">
        <v>36</v>
      </c>
      <c r="K186" s="4" t="s">
        <v>12</v>
      </c>
      <c r="L186" s="4" t="s">
        <v>32</v>
      </c>
      <c r="M186" s="5">
        <v>45330</v>
      </c>
      <c r="N186" s="6">
        <v>1249.95</v>
      </c>
    </row>
    <row r="187" spans="1:14">
      <c r="A187" s="4" t="s">
        <v>336</v>
      </c>
      <c r="B187" s="5">
        <v>45668</v>
      </c>
      <c r="C187" s="4" t="s">
        <v>142</v>
      </c>
      <c r="D187" s="4" t="s">
        <v>143</v>
      </c>
      <c r="E187" s="4" t="s">
        <v>57</v>
      </c>
      <c r="F187" s="4" t="s">
        <v>58</v>
      </c>
      <c r="G187" s="4" t="s">
        <v>6</v>
      </c>
      <c r="H187" s="4">
        <v>4</v>
      </c>
      <c r="I187" s="6">
        <v>149.99</v>
      </c>
      <c r="J187" s="4" t="s">
        <v>62</v>
      </c>
      <c r="K187" s="4" t="s">
        <v>10</v>
      </c>
      <c r="L187" s="4" t="s">
        <v>44</v>
      </c>
      <c r="M187" s="5">
        <v>44536</v>
      </c>
      <c r="N187" s="6">
        <v>599.96</v>
      </c>
    </row>
    <row r="188" spans="1:14" hidden="1">
      <c r="A188" s="4" t="s">
        <v>337</v>
      </c>
      <c r="B188" s="5">
        <v>45668</v>
      </c>
      <c r="C188" s="4" t="s">
        <v>82</v>
      </c>
      <c r="D188" s="4" t="s">
        <v>83</v>
      </c>
      <c r="E188" s="4" t="s">
        <v>84</v>
      </c>
      <c r="F188" s="4" t="s">
        <v>85</v>
      </c>
      <c r="G188" s="4" t="s">
        <v>6</v>
      </c>
      <c r="H188" s="4">
        <v>3</v>
      </c>
      <c r="I188" s="6">
        <v>699.99</v>
      </c>
      <c r="J188" s="4" t="s">
        <v>31</v>
      </c>
      <c r="K188" s="4" t="s">
        <v>11</v>
      </c>
      <c r="L188" s="4" t="s">
        <v>37</v>
      </c>
      <c r="M188" s="5">
        <v>44602</v>
      </c>
      <c r="N188" s="6">
        <v>2099.9699999999998</v>
      </c>
    </row>
    <row r="189" spans="1:14" hidden="1">
      <c r="A189" s="4" t="s">
        <v>338</v>
      </c>
      <c r="B189" s="5">
        <v>45670</v>
      </c>
      <c r="C189" s="4" t="s">
        <v>297</v>
      </c>
      <c r="D189" s="4" t="s">
        <v>298</v>
      </c>
      <c r="E189" s="4" t="s">
        <v>118</v>
      </c>
      <c r="F189" s="4" t="s">
        <v>119</v>
      </c>
      <c r="G189" s="4" t="s">
        <v>5</v>
      </c>
      <c r="H189" s="4">
        <v>1</v>
      </c>
      <c r="I189" s="6">
        <v>79.989999999999995</v>
      </c>
      <c r="J189" s="4" t="s">
        <v>36</v>
      </c>
      <c r="K189" s="4" t="s">
        <v>12</v>
      </c>
      <c r="L189" s="4" t="s">
        <v>32</v>
      </c>
      <c r="M189" s="5">
        <v>45322</v>
      </c>
      <c r="N189" s="6">
        <v>79.989999999999995</v>
      </c>
    </row>
    <row r="190" spans="1:14" hidden="1">
      <c r="A190" s="4" t="s">
        <v>339</v>
      </c>
      <c r="B190" s="5">
        <v>45670</v>
      </c>
      <c r="C190" s="4" t="s">
        <v>90</v>
      </c>
      <c r="D190" s="4" t="s">
        <v>91</v>
      </c>
      <c r="E190" s="4" t="s">
        <v>109</v>
      </c>
      <c r="F190" s="4" t="s">
        <v>110</v>
      </c>
      <c r="G190" s="4" t="s">
        <v>7</v>
      </c>
      <c r="H190" s="4">
        <v>1</v>
      </c>
      <c r="I190" s="6">
        <v>299.99</v>
      </c>
      <c r="J190" s="4" t="s">
        <v>36</v>
      </c>
      <c r="K190" s="4" t="s">
        <v>11</v>
      </c>
      <c r="L190" s="4" t="s">
        <v>32</v>
      </c>
      <c r="M190" s="5">
        <v>44436</v>
      </c>
      <c r="N190" s="6">
        <v>299.99</v>
      </c>
    </row>
    <row r="191" spans="1:14" hidden="1">
      <c r="A191" s="4" t="s">
        <v>340</v>
      </c>
      <c r="B191" s="5">
        <v>45671</v>
      </c>
      <c r="C191" s="4" t="s">
        <v>162</v>
      </c>
      <c r="D191" s="4" t="s">
        <v>163</v>
      </c>
      <c r="E191" s="4" t="s">
        <v>29</v>
      </c>
      <c r="F191" s="4" t="s">
        <v>30</v>
      </c>
      <c r="G191" s="4" t="s">
        <v>6</v>
      </c>
      <c r="H191" s="4">
        <v>4</v>
      </c>
      <c r="I191" s="6">
        <v>249.99</v>
      </c>
      <c r="J191" s="4" t="s">
        <v>36</v>
      </c>
      <c r="K191" s="4" t="s">
        <v>11</v>
      </c>
      <c r="L191" s="4" t="s">
        <v>37</v>
      </c>
      <c r="M191" s="5">
        <v>44460</v>
      </c>
      <c r="N191" s="6">
        <v>999.96</v>
      </c>
    </row>
    <row r="192" spans="1:14" hidden="1">
      <c r="A192" s="4" t="s">
        <v>341</v>
      </c>
      <c r="B192" s="5">
        <v>45671</v>
      </c>
      <c r="C192" s="4" t="s">
        <v>124</v>
      </c>
      <c r="D192" s="4" t="s">
        <v>125</v>
      </c>
      <c r="E192" s="4" t="s">
        <v>57</v>
      </c>
      <c r="F192" s="4" t="s">
        <v>58</v>
      </c>
      <c r="G192" s="4" t="s">
        <v>6</v>
      </c>
      <c r="H192" s="4">
        <v>2</v>
      </c>
      <c r="I192" s="6">
        <v>149.99</v>
      </c>
      <c r="J192" s="4" t="s">
        <v>31</v>
      </c>
      <c r="K192" s="4" t="s">
        <v>11</v>
      </c>
      <c r="L192" s="4" t="s">
        <v>44</v>
      </c>
      <c r="M192" s="5">
        <v>44913</v>
      </c>
      <c r="N192" s="6">
        <v>299.98</v>
      </c>
    </row>
    <row r="193" spans="1:14" hidden="1">
      <c r="A193" s="4" t="s">
        <v>342</v>
      </c>
      <c r="B193" s="5">
        <v>45671</v>
      </c>
      <c r="C193" s="4" t="s">
        <v>238</v>
      </c>
      <c r="D193" s="4" t="s">
        <v>239</v>
      </c>
      <c r="E193" s="4" t="s">
        <v>109</v>
      </c>
      <c r="F193" s="4" t="s">
        <v>110</v>
      </c>
      <c r="G193" s="4" t="s">
        <v>7</v>
      </c>
      <c r="H193" s="4">
        <v>3</v>
      </c>
      <c r="I193" s="6">
        <v>299.99</v>
      </c>
      <c r="J193" s="4" t="s">
        <v>36</v>
      </c>
      <c r="K193" s="4" t="s">
        <v>12</v>
      </c>
      <c r="L193" s="4" t="s">
        <v>32</v>
      </c>
      <c r="M193" s="5">
        <v>45204</v>
      </c>
      <c r="N193" s="6">
        <v>899.97</v>
      </c>
    </row>
    <row r="194" spans="1:14" hidden="1">
      <c r="A194" s="4" t="s">
        <v>343</v>
      </c>
      <c r="B194" s="5">
        <v>45673</v>
      </c>
      <c r="C194" s="4" t="s">
        <v>230</v>
      </c>
      <c r="D194" s="4" t="s">
        <v>231</v>
      </c>
      <c r="E194" s="4" t="s">
        <v>130</v>
      </c>
      <c r="F194" s="4" t="s">
        <v>131</v>
      </c>
      <c r="G194" s="4" t="s">
        <v>7</v>
      </c>
      <c r="H194" s="4">
        <v>4</v>
      </c>
      <c r="I194" s="6">
        <v>199.99</v>
      </c>
      <c r="J194" s="4" t="s">
        <v>62</v>
      </c>
      <c r="K194" s="4" t="s">
        <v>12</v>
      </c>
      <c r="L194" s="4" t="s">
        <v>44</v>
      </c>
      <c r="M194" s="5">
        <v>44544</v>
      </c>
      <c r="N194" s="6">
        <v>799.96</v>
      </c>
    </row>
    <row r="195" spans="1:14" hidden="1">
      <c r="A195" s="4" t="s">
        <v>344</v>
      </c>
      <c r="B195" s="5">
        <v>45673</v>
      </c>
      <c r="C195" s="4" t="s">
        <v>215</v>
      </c>
      <c r="D195" s="4" t="s">
        <v>216</v>
      </c>
      <c r="E195" s="4" t="s">
        <v>109</v>
      </c>
      <c r="F195" s="4" t="s">
        <v>110</v>
      </c>
      <c r="G195" s="4" t="s">
        <v>7</v>
      </c>
      <c r="H195" s="4">
        <v>5</v>
      </c>
      <c r="I195" s="6">
        <v>299.99</v>
      </c>
      <c r="J195" s="4" t="s">
        <v>62</v>
      </c>
      <c r="K195" s="4" t="s">
        <v>9</v>
      </c>
      <c r="L195" s="4" t="s">
        <v>32</v>
      </c>
      <c r="M195" s="5">
        <v>44431</v>
      </c>
      <c r="N195" s="6">
        <v>1499.95</v>
      </c>
    </row>
    <row r="196" spans="1:14" hidden="1">
      <c r="A196" s="4" t="s">
        <v>345</v>
      </c>
      <c r="B196" s="5">
        <v>45673</v>
      </c>
      <c r="C196" s="4" t="s">
        <v>64</v>
      </c>
      <c r="D196" s="4" t="s">
        <v>65</v>
      </c>
      <c r="E196" s="4" t="s">
        <v>51</v>
      </c>
      <c r="F196" s="4" t="s">
        <v>52</v>
      </c>
      <c r="G196" s="4" t="s">
        <v>7</v>
      </c>
      <c r="H196" s="4">
        <v>3</v>
      </c>
      <c r="I196" s="6">
        <v>149.99</v>
      </c>
      <c r="J196" s="4" t="s">
        <v>36</v>
      </c>
      <c r="K196" s="4" t="s">
        <v>10</v>
      </c>
      <c r="L196" s="4" t="s">
        <v>44</v>
      </c>
      <c r="M196" s="5">
        <v>44395</v>
      </c>
      <c r="N196" s="6">
        <v>449.97</v>
      </c>
    </row>
    <row r="197" spans="1:14" hidden="1">
      <c r="A197" s="4" t="s">
        <v>346</v>
      </c>
      <c r="B197" s="5">
        <v>45676</v>
      </c>
      <c r="C197" s="4" t="s">
        <v>133</v>
      </c>
      <c r="D197" s="4" t="s">
        <v>134</v>
      </c>
      <c r="E197" s="4" t="s">
        <v>41</v>
      </c>
      <c r="F197" s="4" t="s">
        <v>42</v>
      </c>
      <c r="G197" s="4" t="s">
        <v>5</v>
      </c>
      <c r="H197" s="4">
        <v>5</v>
      </c>
      <c r="I197" s="6">
        <v>59.99</v>
      </c>
      <c r="J197" s="4" t="s">
        <v>62</v>
      </c>
      <c r="K197" s="4" t="s">
        <v>10</v>
      </c>
      <c r="L197" s="4" t="s">
        <v>32</v>
      </c>
      <c r="M197" s="5">
        <v>44642</v>
      </c>
      <c r="N197" s="6">
        <v>299.95</v>
      </c>
    </row>
    <row r="198" spans="1:14" hidden="1">
      <c r="A198" s="4" t="s">
        <v>347</v>
      </c>
      <c r="B198" s="5">
        <v>45682</v>
      </c>
      <c r="C198" s="4" t="s">
        <v>72</v>
      </c>
      <c r="D198" s="4" t="s">
        <v>73</v>
      </c>
      <c r="E198" s="4" t="s">
        <v>41</v>
      </c>
      <c r="F198" s="4" t="s">
        <v>42</v>
      </c>
      <c r="G198" s="4" t="s">
        <v>5</v>
      </c>
      <c r="H198" s="4">
        <v>4</v>
      </c>
      <c r="I198" s="6">
        <v>59.99</v>
      </c>
      <c r="J198" s="4" t="s">
        <v>62</v>
      </c>
      <c r="K198" s="4" t="s">
        <v>10</v>
      </c>
      <c r="L198" s="4" t="s">
        <v>44</v>
      </c>
      <c r="M198" s="5">
        <v>44564</v>
      </c>
      <c r="N198" s="6">
        <v>239.96</v>
      </c>
    </row>
    <row r="199" spans="1:14" hidden="1">
      <c r="A199" s="4" t="s">
        <v>348</v>
      </c>
      <c r="B199" s="5">
        <v>45683</v>
      </c>
      <c r="C199" s="4" t="s">
        <v>54</v>
      </c>
      <c r="D199" s="4" t="s">
        <v>55</v>
      </c>
      <c r="E199" s="4" t="s">
        <v>29</v>
      </c>
      <c r="F199" s="4" t="s">
        <v>30</v>
      </c>
      <c r="G199" s="4" t="s">
        <v>6</v>
      </c>
      <c r="H199" s="4">
        <v>4</v>
      </c>
      <c r="I199" s="6">
        <v>249.99</v>
      </c>
      <c r="J199" s="4" t="s">
        <v>62</v>
      </c>
      <c r="K199" s="4" t="s">
        <v>9</v>
      </c>
      <c r="L199" s="4" t="s">
        <v>37</v>
      </c>
      <c r="M199" s="5">
        <v>45217</v>
      </c>
      <c r="N199" s="6">
        <v>999.96</v>
      </c>
    </row>
    <row r="200" spans="1:14" hidden="1">
      <c r="A200" s="4" t="s">
        <v>349</v>
      </c>
      <c r="B200" s="5">
        <v>45686</v>
      </c>
      <c r="C200" s="4" t="s">
        <v>256</v>
      </c>
      <c r="D200" s="4" t="s">
        <v>257</v>
      </c>
      <c r="E200" s="4" t="s">
        <v>66</v>
      </c>
      <c r="F200" s="4" t="s">
        <v>67</v>
      </c>
      <c r="G200" s="4" t="s">
        <v>6</v>
      </c>
      <c r="H200" s="4">
        <v>4</v>
      </c>
      <c r="I200" s="6">
        <v>899.99</v>
      </c>
      <c r="J200" s="4" t="s">
        <v>43</v>
      </c>
      <c r="K200" s="4" t="s">
        <v>9</v>
      </c>
      <c r="L200" s="4" t="s">
        <v>32</v>
      </c>
      <c r="M200" s="5">
        <v>44734</v>
      </c>
      <c r="N200" s="6">
        <v>3599.96</v>
      </c>
    </row>
    <row r="201" spans="1:14" hidden="1">
      <c r="A201" s="4" t="s">
        <v>350</v>
      </c>
      <c r="B201" s="5">
        <v>45686</v>
      </c>
      <c r="C201" s="4" t="s">
        <v>90</v>
      </c>
      <c r="D201" s="4" t="s">
        <v>91</v>
      </c>
      <c r="E201" s="4" t="s">
        <v>109</v>
      </c>
      <c r="F201" s="4" t="s">
        <v>110</v>
      </c>
      <c r="G201" s="4" t="s">
        <v>7</v>
      </c>
      <c r="H201" s="4">
        <v>3</v>
      </c>
      <c r="I201" s="6">
        <v>299.99</v>
      </c>
      <c r="J201" s="4" t="s">
        <v>62</v>
      </c>
      <c r="K201" s="4" t="s">
        <v>13</v>
      </c>
      <c r="L201" s="4" t="s">
        <v>44</v>
      </c>
      <c r="M201" s="5">
        <v>44952</v>
      </c>
      <c r="N201" s="6">
        <v>899.97</v>
      </c>
    </row>
    <row r="202" spans="1:14" hidden="1">
      <c r="A202" s="4" t="s">
        <v>351</v>
      </c>
      <c r="B202" s="5">
        <v>45686</v>
      </c>
      <c r="C202" s="4" t="s">
        <v>297</v>
      </c>
      <c r="D202" s="4" t="s">
        <v>298</v>
      </c>
      <c r="E202" s="4" t="s">
        <v>84</v>
      </c>
      <c r="F202" s="4" t="s">
        <v>85</v>
      </c>
      <c r="G202" s="4" t="s">
        <v>6</v>
      </c>
      <c r="H202" s="4">
        <v>2</v>
      </c>
      <c r="I202" s="6">
        <v>699.99</v>
      </c>
      <c r="J202" s="4" t="s">
        <v>62</v>
      </c>
      <c r="K202" s="4" t="s">
        <v>9</v>
      </c>
      <c r="L202" s="4" t="s">
        <v>37</v>
      </c>
      <c r="M202" s="5">
        <v>44681</v>
      </c>
      <c r="N202" s="6">
        <v>1399.98</v>
      </c>
    </row>
    <row r="203" spans="1:14" hidden="1">
      <c r="A203" s="4" t="s">
        <v>352</v>
      </c>
      <c r="B203" s="5">
        <v>45688</v>
      </c>
      <c r="C203" s="4" t="s">
        <v>69</v>
      </c>
      <c r="D203" s="4" t="s">
        <v>70</v>
      </c>
      <c r="E203" s="4" t="s">
        <v>84</v>
      </c>
      <c r="F203" s="4" t="s">
        <v>85</v>
      </c>
      <c r="G203" s="4" t="s">
        <v>6</v>
      </c>
      <c r="H203" s="4">
        <v>4</v>
      </c>
      <c r="I203" s="6">
        <v>699.99</v>
      </c>
      <c r="J203" s="4" t="s">
        <v>62</v>
      </c>
      <c r="K203" s="4" t="s">
        <v>13</v>
      </c>
      <c r="L203" s="4" t="s">
        <v>37</v>
      </c>
      <c r="M203" s="5">
        <v>44692</v>
      </c>
      <c r="N203" s="6">
        <v>2799.96</v>
      </c>
    </row>
    <row r="204" spans="1:14" hidden="1">
      <c r="A204" s="4" t="s">
        <v>353</v>
      </c>
      <c r="B204" s="5">
        <v>45688</v>
      </c>
      <c r="C204" s="4" t="s">
        <v>127</v>
      </c>
      <c r="D204" s="4" t="s">
        <v>128</v>
      </c>
      <c r="E204" s="4" t="s">
        <v>121</v>
      </c>
      <c r="F204" s="4" t="s">
        <v>122</v>
      </c>
      <c r="G204" s="4" t="s">
        <v>6</v>
      </c>
      <c r="H204" s="4">
        <v>2</v>
      </c>
      <c r="I204" s="6">
        <v>89.99</v>
      </c>
      <c r="J204" s="4" t="s">
        <v>62</v>
      </c>
      <c r="K204" s="4" t="s">
        <v>12</v>
      </c>
      <c r="L204" s="4" t="s">
        <v>32</v>
      </c>
      <c r="M204" s="5">
        <v>44777</v>
      </c>
      <c r="N204" s="6">
        <v>179.98</v>
      </c>
    </row>
    <row r="205" spans="1:14" hidden="1">
      <c r="A205" s="4" t="s">
        <v>354</v>
      </c>
      <c r="B205" s="5">
        <v>45688</v>
      </c>
      <c r="C205" s="4" t="s">
        <v>49</v>
      </c>
      <c r="D205" s="4" t="s">
        <v>50</v>
      </c>
      <c r="E205" s="4" t="s">
        <v>121</v>
      </c>
      <c r="F205" s="4" t="s">
        <v>122</v>
      </c>
      <c r="G205" s="4" t="s">
        <v>6</v>
      </c>
      <c r="H205" s="4">
        <v>3</v>
      </c>
      <c r="I205" s="6">
        <v>89.99</v>
      </c>
      <c r="J205" s="4" t="s">
        <v>62</v>
      </c>
      <c r="K205" s="4" t="s">
        <v>12</v>
      </c>
      <c r="L205" s="4" t="s">
        <v>37</v>
      </c>
      <c r="M205" s="5">
        <v>45307</v>
      </c>
      <c r="N205" s="6">
        <v>269.97000000000003</v>
      </c>
    </row>
    <row r="206" spans="1:14" hidden="1">
      <c r="A206" s="4" t="s">
        <v>355</v>
      </c>
      <c r="B206" s="5">
        <v>45692</v>
      </c>
      <c r="C206" s="4" t="s">
        <v>329</v>
      </c>
      <c r="D206" s="4" t="s">
        <v>330</v>
      </c>
      <c r="E206" s="4" t="s">
        <v>41</v>
      </c>
      <c r="F206" s="4" t="s">
        <v>42</v>
      </c>
      <c r="G206" s="4" t="s">
        <v>5</v>
      </c>
      <c r="H206" s="4">
        <v>1</v>
      </c>
      <c r="I206" s="6">
        <v>59.99</v>
      </c>
      <c r="J206" s="4" t="s">
        <v>62</v>
      </c>
      <c r="K206" s="4" t="s">
        <v>9</v>
      </c>
      <c r="L206" s="4" t="s">
        <v>44</v>
      </c>
      <c r="M206" s="5">
        <v>45045</v>
      </c>
      <c r="N206" s="6">
        <v>59.99</v>
      </c>
    </row>
    <row r="207" spans="1:14" hidden="1">
      <c r="A207" s="4" t="s">
        <v>356</v>
      </c>
      <c r="B207" s="5">
        <v>45695</v>
      </c>
      <c r="C207" s="4" t="s">
        <v>250</v>
      </c>
      <c r="D207" s="4" t="s">
        <v>251</v>
      </c>
      <c r="E207" s="4" t="s">
        <v>51</v>
      </c>
      <c r="F207" s="4" t="s">
        <v>52</v>
      </c>
      <c r="G207" s="4" t="s">
        <v>7</v>
      </c>
      <c r="H207" s="4">
        <v>3</v>
      </c>
      <c r="I207" s="6">
        <v>149.99</v>
      </c>
      <c r="J207" s="4" t="s">
        <v>62</v>
      </c>
      <c r="K207" s="4" t="s">
        <v>11</v>
      </c>
      <c r="L207" s="4" t="s">
        <v>37</v>
      </c>
      <c r="M207" s="5">
        <v>44564</v>
      </c>
      <c r="N207" s="6">
        <v>449.97</v>
      </c>
    </row>
    <row r="208" spans="1:14" hidden="1">
      <c r="A208" s="4" t="s">
        <v>357</v>
      </c>
      <c r="B208" s="5">
        <v>45695</v>
      </c>
      <c r="C208" s="4" t="s">
        <v>97</v>
      </c>
      <c r="D208" s="4" t="s">
        <v>98</v>
      </c>
      <c r="E208" s="4" t="s">
        <v>109</v>
      </c>
      <c r="F208" s="4" t="s">
        <v>110</v>
      </c>
      <c r="G208" s="4" t="s">
        <v>7</v>
      </c>
      <c r="H208" s="4">
        <v>5</v>
      </c>
      <c r="I208" s="6">
        <v>299.99</v>
      </c>
      <c r="J208" s="4" t="s">
        <v>36</v>
      </c>
      <c r="K208" s="4" t="s">
        <v>12</v>
      </c>
      <c r="L208" s="4" t="s">
        <v>32</v>
      </c>
      <c r="M208" s="5">
        <v>44959</v>
      </c>
      <c r="N208" s="6">
        <v>1499.95</v>
      </c>
    </row>
    <row r="209" spans="1:14" hidden="1">
      <c r="A209" s="4" t="s">
        <v>358</v>
      </c>
      <c r="B209" s="5">
        <v>45696</v>
      </c>
      <c r="C209" s="4" t="s">
        <v>154</v>
      </c>
      <c r="D209" s="4" t="s">
        <v>155</v>
      </c>
      <c r="E209" s="4" t="s">
        <v>41</v>
      </c>
      <c r="F209" s="4" t="s">
        <v>42</v>
      </c>
      <c r="G209" s="4" t="s">
        <v>5</v>
      </c>
      <c r="H209" s="4">
        <v>5</v>
      </c>
      <c r="I209" s="6">
        <v>59.99</v>
      </c>
      <c r="J209" s="4" t="s">
        <v>62</v>
      </c>
      <c r="K209" s="4" t="s">
        <v>9</v>
      </c>
      <c r="L209" s="4" t="s">
        <v>44</v>
      </c>
      <c r="M209" s="5">
        <v>45177</v>
      </c>
      <c r="N209" s="6">
        <v>299.95</v>
      </c>
    </row>
    <row r="210" spans="1:14" hidden="1">
      <c r="A210" s="4" t="s">
        <v>359</v>
      </c>
      <c r="B210" s="5">
        <v>45701</v>
      </c>
      <c r="C210" s="4" t="s">
        <v>112</v>
      </c>
      <c r="D210" s="4" t="s">
        <v>113</v>
      </c>
      <c r="E210" s="4" t="s">
        <v>118</v>
      </c>
      <c r="F210" s="4" t="s">
        <v>119</v>
      </c>
      <c r="G210" s="4" t="s">
        <v>5</v>
      </c>
      <c r="H210" s="4">
        <v>3</v>
      </c>
      <c r="I210" s="6">
        <v>79.989999999999995</v>
      </c>
      <c r="J210" s="4" t="s">
        <v>31</v>
      </c>
      <c r="K210" s="4" t="s">
        <v>10</v>
      </c>
      <c r="L210" s="4" t="s">
        <v>37</v>
      </c>
      <c r="M210" s="5">
        <v>44436</v>
      </c>
      <c r="N210" s="6">
        <v>239.97</v>
      </c>
    </row>
    <row r="211" spans="1:14" hidden="1">
      <c r="A211" s="4" t="s">
        <v>360</v>
      </c>
      <c r="B211" s="5">
        <v>45704</v>
      </c>
      <c r="C211" s="4" t="s">
        <v>39</v>
      </c>
      <c r="D211" s="4" t="s">
        <v>40</v>
      </c>
      <c r="E211" s="4" t="s">
        <v>130</v>
      </c>
      <c r="F211" s="4" t="s">
        <v>131</v>
      </c>
      <c r="G211" s="4" t="s">
        <v>7</v>
      </c>
      <c r="H211" s="4">
        <v>3</v>
      </c>
      <c r="I211" s="6">
        <v>199.99</v>
      </c>
      <c r="J211" s="4" t="s">
        <v>31</v>
      </c>
      <c r="K211" s="4" t="s">
        <v>9</v>
      </c>
      <c r="L211" s="4" t="s">
        <v>32</v>
      </c>
      <c r="M211" s="5">
        <v>44735</v>
      </c>
      <c r="N211" s="6">
        <v>599.97</v>
      </c>
    </row>
    <row r="212" spans="1:14" hidden="1">
      <c r="A212" s="4" t="s">
        <v>361</v>
      </c>
      <c r="B212" s="5">
        <v>45704</v>
      </c>
      <c r="C212" s="4" t="s">
        <v>27</v>
      </c>
      <c r="D212" s="4" t="s">
        <v>28</v>
      </c>
      <c r="E212" s="4" t="s">
        <v>121</v>
      </c>
      <c r="F212" s="4" t="s">
        <v>122</v>
      </c>
      <c r="G212" s="4" t="s">
        <v>6</v>
      </c>
      <c r="H212" s="4">
        <v>2</v>
      </c>
      <c r="I212" s="6">
        <v>89.99</v>
      </c>
      <c r="J212" s="4" t="s">
        <v>43</v>
      </c>
      <c r="K212" s="4" t="s">
        <v>9</v>
      </c>
      <c r="L212" s="4" t="s">
        <v>32</v>
      </c>
      <c r="M212" s="5">
        <v>45257</v>
      </c>
      <c r="N212" s="6">
        <v>179.98</v>
      </c>
    </row>
    <row r="213" spans="1:14" hidden="1">
      <c r="A213" s="4" t="s">
        <v>362</v>
      </c>
      <c r="B213" s="5">
        <v>45705</v>
      </c>
      <c r="C213" s="4" t="s">
        <v>263</v>
      </c>
      <c r="D213" s="4" t="s">
        <v>264</v>
      </c>
      <c r="E213" s="4" t="s">
        <v>51</v>
      </c>
      <c r="F213" s="4" t="s">
        <v>52</v>
      </c>
      <c r="G213" s="4" t="s">
        <v>7</v>
      </c>
      <c r="H213" s="4">
        <v>2</v>
      </c>
      <c r="I213" s="6">
        <v>149.99</v>
      </c>
      <c r="J213" s="4" t="s">
        <v>31</v>
      </c>
      <c r="K213" s="4" t="s">
        <v>12</v>
      </c>
      <c r="L213" s="4" t="s">
        <v>37</v>
      </c>
      <c r="M213" s="5">
        <v>44728</v>
      </c>
      <c r="N213" s="6">
        <v>299.98</v>
      </c>
    </row>
    <row r="214" spans="1:14" hidden="1">
      <c r="A214" s="4" t="s">
        <v>363</v>
      </c>
      <c r="B214" s="5">
        <v>45707</v>
      </c>
      <c r="C214" s="4" t="s">
        <v>127</v>
      </c>
      <c r="D214" s="4" t="s">
        <v>128</v>
      </c>
      <c r="E214" s="4" t="s">
        <v>84</v>
      </c>
      <c r="F214" s="4" t="s">
        <v>85</v>
      </c>
      <c r="G214" s="4" t="s">
        <v>6</v>
      </c>
      <c r="H214" s="4">
        <v>5</v>
      </c>
      <c r="I214" s="6">
        <v>699.99</v>
      </c>
      <c r="J214" s="4" t="s">
        <v>43</v>
      </c>
      <c r="K214" s="4" t="s">
        <v>12</v>
      </c>
      <c r="L214" s="4" t="s">
        <v>37</v>
      </c>
      <c r="M214" s="5">
        <v>45352</v>
      </c>
      <c r="N214" s="6">
        <v>3499.95</v>
      </c>
    </row>
    <row r="215" spans="1:14" hidden="1">
      <c r="A215" s="4" t="s">
        <v>364</v>
      </c>
      <c r="B215" s="5">
        <v>45707</v>
      </c>
      <c r="C215" s="4" t="s">
        <v>49</v>
      </c>
      <c r="D215" s="4" t="s">
        <v>50</v>
      </c>
      <c r="E215" s="4" t="s">
        <v>51</v>
      </c>
      <c r="F215" s="4" t="s">
        <v>52</v>
      </c>
      <c r="G215" s="4" t="s">
        <v>7</v>
      </c>
      <c r="H215" s="4">
        <v>3</v>
      </c>
      <c r="I215" s="6">
        <v>149.99</v>
      </c>
      <c r="J215" s="4" t="s">
        <v>43</v>
      </c>
      <c r="K215" s="4" t="s">
        <v>9</v>
      </c>
      <c r="L215" s="4" t="s">
        <v>44</v>
      </c>
      <c r="M215" s="5">
        <v>44633</v>
      </c>
      <c r="N215" s="6">
        <v>449.97</v>
      </c>
    </row>
    <row r="216" spans="1:14">
      <c r="A216" s="4" t="s">
        <v>365</v>
      </c>
      <c r="B216" s="5">
        <v>45708</v>
      </c>
      <c r="C216" s="4" t="s">
        <v>100</v>
      </c>
      <c r="D216" s="4" t="s">
        <v>101</v>
      </c>
      <c r="E216" s="4" t="s">
        <v>66</v>
      </c>
      <c r="F216" s="4" t="s">
        <v>67</v>
      </c>
      <c r="G216" s="4" t="s">
        <v>6</v>
      </c>
      <c r="H216" s="4">
        <v>3</v>
      </c>
      <c r="I216" s="6">
        <v>899.99</v>
      </c>
      <c r="J216" s="4" t="s">
        <v>31</v>
      </c>
      <c r="K216" s="4" t="s">
        <v>10</v>
      </c>
      <c r="L216" s="4" t="s">
        <v>44</v>
      </c>
      <c r="M216" s="5">
        <v>44613</v>
      </c>
      <c r="N216" s="6">
        <v>2699.97</v>
      </c>
    </row>
    <row r="217" spans="1:14" hidden="1">
      <c r="A217" s="4" t="s">
        <v>366</v>
      </c>
      <c r="B217" s="5">
        <v>45708</v>
      </c>
      <c r="C217" s="4" t="s">
        <v>196</v>
      </c>
      <c r="D217" s="4" t="s">
        <v>197</v>
      </c>
      <c r="E217" s="4" t="s">
        <v>130</v>
      </c>
      <c r="F217" s="4" t="s">
        <v>131</v>
      </c>
      <c r="G217" s="4" t="s">
        <v>7</v>
      </c>
      <c r="H217" s="4">
        <v>3</v>
      </c>
      <c r="I217" s="6">
        <v>199.99</v>
      </c>
      <c r="J217" s="4" t="s">
        <v>31</v>
      </c>
      <c r="K217" s="4" t="s">
        <v>13</v>
      </c>
      <c r="L217" s="4" t="s">
        <v>37</v>
      </c>
      <c r="M217" s="5">
        <v>44823</v>
      </c>
      <c r="N217" s="6">
        <v>599.97</v>
      </c>
    </row>
    <row r="218" spans="1:14" hidden="1">
      <c r="A218" s="4" t="s">
        <v>367</v>
      </c>
      <c r="B218" s="5">
        <v>45710</v>
      </c>
      <c r="C218" s="4" t="s">
        <v>60</v>
      </c>
      <c r="D218" s="4" t="s">
        <v>61</v>
      </c>
      <c r="E218" s="4" t="s">
        <v>109</v>
      </c>
      <c r="F218" s="4" t="s">
        <v>110</v>
      </c>
      <c r="G218" s="4" t="s">
        <v>7</v>
      </c>
      <c r="H218" s="4">
        <v>5</v>
      </c>
      <c r="I218" s="6">
        <v>299.99</v>
      </c>
      <c r="J218" s="4" t="s">
        <v>31</v>
      </c>
      <c r="K218" s="4" t="s">
        <v>13</v>
      </c>
      <c r="L218" s="4" t="s">
        <v>44</v>
      </c>
      <c r="M218" s="5">
        <v>45142</v>
      </c>
      <c r="N218" s="6">
        <v>1499.95</v>
      </c>
    </row>
    <row r="219" spans="1:14" hidden="1">
      <c r="A219" s="4" t="s">
        <v>368</v>
      </c>
      <c r="B219" s="5">
        <v>45710</v>
      </c>
      <c r="C219" s="4" t="s">
        <v>154</v>
      </c>
      <c r="D219" s="4" t="s">
        <v>155</v>
      </c>
      <c r="E219" s="4" t="s">
        <v>84</v>
      </c>
      <c r="F219" s="4" t="s">
        <v>85</v>
      </c>
      <c r="G219" s="4" t="s">
        <v>6</v>
      </c>
      <c r="H219" s="4">
        <v>1</v>
      </c>
      <c r="I219" s="6">
        <v>699.99</v>
      </c>
      <c r="J219" s="4" t="s">
        <v>43</v>
      </c>
      <c r="K219" s="4" t="s">
        <v>13</v>
      </c>
      <c r="L219" s="4" t="s">
        <v>32</v>
      </c>
      <c r="M219" s="5">
        <v>44934</v>
      </c>
      <c r="N219" s="6">
        <v>699.99</v>
      </c>
    </row>
    <row r="220" spans="1:14" hidden="1">
      <c r="A220" s="4" t="s">
        <v>369</v>
      </c>
      <c r="B220" s="5">
        <v>45711</v>
      </c>
      <c r="C220" s="4" t="s">
        <v>250</v>
      </c>
      <c r="D220" s="4" t="s">
        <v>251</v>
      </c>
      <c r="E220" s="4" t="s">
        <v>84</v>
      </c>
      <c r="F220" s="4" t="s">
        <v>85</v>
      </c>
      <c r="G220" s="4" t="s">
        <v>6</v>
      </c>
      <c r="H220" s="4">
        <v>1</v>
      </c>
      <c r="I220" s="6">
        <v>699.99</v>
      </c>
      <c r="J220" s="4" t="s">
        <v>31</v>
      </c>
      <c r="K220" s="4" t="s">
        <v>11</v>
      </c>
      <c r="L220" s="4" t="s">
        <v>37</v>
      </c>
      <c r="M220" s="5">
        <v>44583</v>
      </c>
      <c r="N220" s="6">
        <v>699.99</v>
      </c>
    </row>
    <row r="221" spans="1:14" hidden="1">
      <c r="A221" s="4" t="s">
        <v>370</v>
      </c>
      <c r="B221" s="5">
        <v>45711</v>
      </c>
      <c r="C221" s="4" t="s">
        <v>329</v>
      </c>
      <c r="D221" s="4" t="s">
        <v>330</v>
      </c>
      <c r="E221" s="4" t="s">
        <v>51</v>
      </c>
      <c r="F221" s="4" t="s">
        <v>52</v>
      </c>
      <c r="G221" s="4" t="s">
        <v>7</v>
      </c>
      <c r="H221" s="4">
        <v>4</v>
      </c>
      <c r="I221" s="6">
        <v>149.99</v>
      </c>
      <c r="J221" s="4" t="s">
        <v>43</v>
      </c>
      <c r="K221" s="4" t="s">
        <v>11</v>
      </c>
      <c r="L221" s="4" t="s">
        <v>37</v>
      </c>
      <c r="M221" s="5">
        <v>44412</v>
      </c>
      <c r="N221" s="6">
        <v>599.96</v>
      </c>
    </row>
    <row r="222" spans="1:14" hidden="1">
      <c r="A222" s="4" t="s">
        <v>371</v>
      </c>
      <c r="B222" s="5">
        <v>45711</v>
      </c>
      <c r="C222" s="4" t="s">
        <v>215</v>
      </c>
      <c r="D222" s="4" t="s">
        <v>216</v>
      </c>
      <c r="E222" s="4" t="s">
        <v>121</v>
      </c>
      <c r="F222" s="4" t="s">
        <v>122</v>
      </c>
      <c r="G222" s="4" t="s">
        <v>6</v>
      </c>
      <c r="H222" s="4">
        <v>5</v>
      </c>
      <c r="I222" s="6">
        <v>89.99</v>
      </c>
      <c r="J222" s="4" t="s">
        <v>43</v>
      </c>
      <c r="K222" s="4" t="s">
        <v>13</v>
      </c>
      <c r="L222" s="4" t="s">
        <v>37</v>
      </c>
      <c r="M222" s="5">
        <v>45140</v>
      </c>
      <c r="N222" s="6">
        <v>449.95</v>
      </c>
    </row>
    <row r="223" spans="1:14" hidden="1">
      <c r="A223" s="4" t="s">
        <v>372</v>
      </c>
      <c r="B223" s="5">
        <v>45712</v>
      </c>
      <c r="C223" s="4" t="s">
        <v>142</v>
      </c>
      <c r="D223" s="4" t="s">
        <v>143</v>
      </c>
      <c r="E223" s="4" t="s">
        <v>130</v>
      </c>
      <c r="F223" s="4" t="s">
        <v>131</v>
      </c>
      <c r="G223" s="4" t="s">
        <v>7</v>
      </c>
      <c r="H223" s="4">
        <v>2</v>
      </c>
      <c r="I223" s="6">
        <v>199.99</v>
      </c>
      <c r="J223" s="4" t="s">
        <v>31</v>
      </c>
      <c r="K223" s="4" t="s">
        <v>9</v>
      </c>
      <c r="L223" s="4" t="s">
        <v>37</v>
      </c>
      <c r="M223" s="5">
        <v>44573</v>
      </c>
      <c r="N223" s="6">
        <v>399.98</v>
      </c>
    </row>
    <row r="224" spans="1:14" hidden="1">
      <c r="A224" s="4" t="s">
        <v>373</v>
      </c>
      <c r="B224" s="5">
        <v>45715</v>
      </c>
      <c r="C224" s="4" t="s">
        <v>263</v>
      </c>
      <c r="D224" s="4" t="s">
        <v>264</v>
      </c>
      <c r="E224" s="4" t="s">
        <v>41</v>
      </c>
      <c r="F224" s="4" t="s">
        <v>42</v>
      </c>
      <c r="G224" s="4" t="s">
        <v>5</v>
      </c>
      <c r="H224" s="4">
        <v>4</v>
      </c>
      <c r="I224" s="6">
        <v>59.99</v>
      </c>
      <c r="J224" s="4" t="s">
        <v>31</v>
      </c>
      <c r="K224" s="4" t="s">
        <v>13</v>
      </c>
      <c r="L224" s="4" t="s">
        <v>44</v>
      </c>
      <c r="M224" s="5">
        <v>45070</v>
      </c>
      <c r="N224" s="6">
        <v>239.96</v>
      </c>
    </row>
    <row r="225" spans="1:14" hidden="1">
      <c r="A225" s="4" t="s">
        <v>374</v>
      </c>
      <c r="B225" s="5">
        <v>45715</v>
      </c>
      <c r="C225" s="4" t="s">
        <v>97</v>
      </c>
      <c r="D225" s="4" t="s">
        <v>98</v>
      </c>
      <c r="E225" s="4" t="s">
        <v>109</v>
      </c>
      <c r="F225" s="4" t="s">
        <v>110</v>
      </c>
      <c r="G225" s="4" t="s">
        <v>7</v>
      </c>
      <c r="H225" s="4">
        <v>2</v>
      </c>
      <c r="I225" s="6">
        <v>299.99</v>
      </c>
      <c r="J225" s="4" t="s">
        <v>43</v>
      </c>
      <c r="K225" s="4" t="s">
        <v>12</v>
      </c>
      <c r="L225" s="4" t="s">
        <v>32</v>
      </c>
      <c r="M225" s="5">
        <v>44576</v>
      </c>
      <c r="N225" s="6">
        <v>599.98</v>
      </c>
    </row>
    <row r="226" spans="1:14" hidden="1">
      <c r="A226" s="4" t="s">
        <v>375</v>
      </c>
      <c r="B226" s="5">
        <v>45718</v>
      </c>
      <c r="C226" s="4" t="s">
        <v>60</v>
      </c>
      <c r="D226" s="4" t="s">
        <v>61</v>
      </c>
      <c r="E226" s="4" t="s">
        <v>51</v>
      </c>
      <c r="F226" s="4" t="s">
        <v>52</v>
      </c>
      <c r="G226" s="4" t="s">
        <v>7</v>
      </c>
      <c r="H226" s="4">
        <v>2</v>
      </c>
      <c r="I226" s="6">
        <v>149.99</v>
      </c>
      <c r="J226" s="4" t="s">
        <v>31</v>
      </c>
      <c r="K226" s="4" t="s">
        <v>9</v>
      </c>
      <c r="L226" s="4" t="s">
        <v>32</v>
      </c>
      <c r="M226" s="5">
        <v>45068</v>
      </c>
      <c r="N226" s="6">
        <v>299.98</v>
      </c>
    </row>
    <row r="227" spans="1:14">
      <c r="A227" s="4" t="s">
        <v>376</v>
      </c>
      <c r="B227" s="5">
        <v>45720</v>
      </c>
      <c r="C227" s="4" t="s">
        <v>230</v>
      </c>
      <c r="D227" s="4" t="s">
        <v>231</v>
      </c>
      <c r="E227" s="4" t="s">
        <v>84</v>
      </c>
      <c r="F227" s="4" t="s">
        <v>85</v>
      </c>
      <c r="G227" s="4" t="s">
        <v>6</v>
      </c>
      <c r="H227" s="4">
        <v>5</v>
      </c>
      <c r="I227" s="6">
        <v>699.99</v>
      </c>
      <c r="J227" s="4" t="s">
        <v>62</v>
      </c>
      <c r="K227" s="4" t="s">
        <v>10</v>
      </c>
      <c r="L227" s="4" t="s">
        <v>37</v>
      </c>
      <c r="M227" s="5">
        <v>45161</v>
      </c>
      <c r="N227" s="6">
        <v>3499.95</v>
      </c>
    </row>
    <row r="228" spans="1:14" hidden="1">
      <c r="A228" s="4" t="s">
        <v>377</v>
      </c>
      <c r="B228" s="5">
        <v>45721</v>
      </c>
      <c r="C228" s="4" t="s">
        <v>79</v>
      </c>
      <c r="D228" s="4" t="s">
        <v>80</v>
      </c>
      <c r="E228" s="4" t="s">
        <v>41</v>
      </c>
      <c r="F228" s="4" t="s">
        <v>42</v>
      </c>
      <c r="G228" s="4" t="s">
        <v>5</v>
      </c>
      <c r="H228" s="4">
        <v>5</v>
      </c>
      <c r="I228" s="6">
        <v>59.99</v>
      </c>
      <c r="J228" s="4" t="s">
        <v>31</v>
      </c>
      <c r="K228" s="4" t="s">
        <v>13</v>
      </c>
      <c r="L228" s="4" t="s">
        <v>37</v>
      </c>
      <c r="M228" s="5">
        <v>45291</v>
      </c>
      <c r="N228" s="6">
        <v>299.95</v>
      </c>
    </row>
    <row r="229" spans="1:14" hidden="1">
      <c r="A229" s="4" t="s">
        <v>378</v>
      </c>
      <c r="B229" s="5">
        <v>45723</v>
      </c>
      <c r="C229" s="4" t="s">
        <v>27</v>
      </c>
      <c r="D229" s="4" t="s">
        <v>28</v>
      </c>
      <c r="E229" s="4" t="s">
        <v>121</v>
      </c>
      <c r="F229" s="4" t="s">
        <v>122</v>
      </c>
      <c r="G229" s="4" t="s">
        <v>6</v>
      </c>
      <c r="H229" s="4">
        <v>2</v>
      </c>
      <c r="I229" s="6">
        <v>89.99</v>
      </c>
      <c r="J229" s="4" t="s">
        <v>36</v>
      </c>
      <c r="K229" s="4" t="s">
        <v>13</v>
      </c>
      <c r="L229" s="4" t="s">
        <v>37</v>
      </c>
      <c r="M229" s="5">
        <v>45295</v>
      </c>
      <c r="N229" s="6">
        <v>179.98</v>
      </c>
    </row>
    <row r="230" spans="1:14">
      <c r="A230" s="4" t="s">
        <v>379</v>
      </c>
      <c r="B230" s="5">
        <v>45723</v>
      </c>
      <c r="C230" s="4" t="s">
        <v>124</v>
      </c>
      <c r="D230" s="4" t="s">
        <v>125</v>
      </c>
      <c r="E230" s="4" t="s">
        <v>29</v>
      </c>
      <c r="F230" s="4" t="s">
        <v>30</v>
      </c>
      <c r="G230" s="4" t="s">
        <v>6</v>
      </c>
      <c r="H230" s="4">
        <v>5</v>
      </c>
      <c r="I230" s="6">
        <v>249.99</v>
      </c>
      <c r="J230" s="4" t="s">
        <v>31</v>
      </c>
      <c r="K230" s="4" t="s">
        <v>10</v>
      </c>
      <c r="L230" s="4" t="s">
        <v>44</v>
      </c>
      <c r="M230" s="5">
        <v>44540</v>
      </c>
      <c r="N230" s="6">
        <v>1249.95</v>
      </c>
    </row>
    <row r="231" spans="1:14" hidden="1">
      <c r="A231" s="4" t="s">
        <v>380</v>
      </c>
      <c r="B231" s="5">
        <v>45724</v>
      </c>
      <c r="C231" s="4" t="s">
        <v>230</v>
      </c>
      <c r="D231" s="4" t="s">
        <v>231</v>
      </c>
      <c r="E231" s="4" t="s">
        <v>51</v>
      </c>
      <c r="F231" s="4" t="s">
        <v>52</v>
      </c>
      <c r="G231" s="4" t="s">
        <v>7</v>
      </c>
      <c r="H231" s="4">
        <v>2</v>
      </c>
      <c r="I231" s="6">
        <v>149.99</v>
      </c>
      <c r="J231" s="4" t="s">
        <v>43</v>
      </c>
      <c r="K231" s="4" t="s">
        <v>9</v>
      </c>
      <c r="L231" s="4" t="s">
        <v>37</v>
      </c>
      <c r="M231" s="5">
        <v>44632</v>
      </c>
      <c r="N231" s="6">
        <v>299.98</v>
      </c>
    </row>
    <row r="232" spans="1:14">
      <c r="A232" s="4" t="s">
        <v>381</v>
      </c>
      <c r="B232" s="5">
        <v>45724</v>
      </c>
      <c r="C232" s="4" t="s">
        <v>148</v>
      </c>
      <c r="D232" s="4" t="s">
        <v>149</v>
      </c>
      <c r="E232" s="4" t="s">
        <v>66</v>
      </c>
      <c r="F232" s="4" t="s">
        <v>67</v>
      </c>
      <c r="G232" s="4" t="s">
        <v>6</v>
      </c>
      <c r="H232" s="4">
        <v>5</v>
      </c>
      <c r="I232" s="6">
        <v>899.99</v>
      </c>
      <c r="J232" s="4" t="s">
        <v>43</v>
      </c>
      <c r="K232" s="4" t="s">
        <v>10</v>
      </c>
      <c r="L232" s="4" t="s">
        <v>37</v>
      </c>
      <c r="M232" s="5">
        <v>45389</v>
      </c>
      <c r="N232" s="6">
        <v>4499.95</v>
      </c>
    </row>
    <row r="233" spans="1:14" hidden="1">
      <c r="A233" s="4" t="s">
        <v>382</v>
      </c>
      <c r="B233" s="5">
        <v>45724</v>
      </c>
      <c r="C233" s="4" t="s">
        <v>60</v>
      </c>
      <c r="D233" s="4" t="s">
        <v>61</v>
      </c>
      <c r="E233" s="4" t="s">
        <v>51</v>
      </c>
      <c r="F233" s="4" t="s">
        <v>52</v>
      </c>
      <c r="G233" s="4" t="s">
        <v>7</v>
      </c>
      <c r="H233" s="4">
        <v>4</v>
      </c>
      <c r="I233" s="6">
        <v>149.99</v>
      </c>
      <c r="J233" s="4" t="s">
        <v>31</v>
      </c>
      <c r="K233" s="4" t="s">
        <v>9</v>
      </c>
      <c r="L233" s="4" t="s">
        <v>44</v>
      </c>
      <c r="M233" s="5">
        <v>45263</v>
      </c>
      <c r="N233" s="6">
        <v>599.96</v>
      </c>
    </row>
    <row r="234" spans="1:14" hidden="1">
      <c r="A234" s="4" t="s">
        <v>383</v>
      </c>
      <c r="B234" s="5">
        <v>45726</v>
      </c>
      <c r="C234" s="4" t="s">
        <v>148</v>
      </c>
      <c r="D234" s="4" t="s">
        <v>149</v>
      </c>
      <c r="E234" s="4" t="s">
        <v>29</v>
      </c>
      <c r="F234" s="4" t="s">
        <v>30</v>
      </c>
      <c r="G234" s="4" t="s">
        <v>6</v>
      </c>
      <c r="H234" s="4">
        <v>1</v>
      </c>
      <c r="I234" s="6">
        <v>249.99</v>
      </c>
      <c r="J234" s="4" t="s">
        <v>31</v>
      </c>
      <c r="K234" s="4" t="s">
        <v>11</v>
      </c>
      <c r="L234" s="4" t="s">
        <v>44</v>
      </c>
      <c r="M234" s="5">
        <v>45117</v>
      </c>
      <c r="N234" s="6">
        <v>249.99</v>
      </c>
    </row>
    <row r="235" spans="1:14" hidden="1">
      <c r="A235" s="4" t="s">
        <v>384</v>
      </c>
      <c r="B235" s="5">
        <v>45734</v>
      </c>
      <c r="C235" s="4" t="s">
        <v>196</v>
      </c>
      <c r="D235" s="4" t="s">
        <v>197</v>
      </c>
      <c r="E235" s="4" t="s">
        <v>41</v>
      </c>
      <c r="F235" s="4" t="s">
        <v>42</v>
      </c>
      <c r="G235" s="4" t="s">
        <v>5</v>
      </c>
      <c r="H235" s="4">
        <v>2</v>
      </c>
      <c r="I235" s="6">
        <v>59.99</v>
      </c>
      <c r="J235" s="4" t="s">
        <v>36</v>
      </c>
      <c r="K235" s="4" t="s">
        <v>13</v>
      </c>
      <c r="L235" s="4" t="s">
        <v>32</v>
      </c>
      <c r="M235" s="5">
        <v>45193</v>
      </c>
      <c r="N235" s="6">
        <v>119.98</v>
      </c>
    </row>
    <row r="236" spans="1:14" hidden="1">
      <c r="A236" s="4" t="s">
        <v>385</v>
      </c>
      <c r="B236" s="5">
        <v>45737</v>
      </c>
      <c r="C236" s="4" t="s">
        <v>136</v>
      </c>
      <c r="D236" s="4" t="s">
        <v>137</v>
      </c>
      <c r="E236" s="4" t="s">
        <v>51</v>
      </c>
      <c r="F236" s="4" t="s">
        <v>52</v>
      </c>
      <c r="G236" s="4" t="s">
        <v>7</v>
      </c>
      <c r="H236" s="4">
        <v>2</v>
      </c>
      <c r="I236" s="6">
        <v>149.99</v>
      </c>
      <c r="J236" s="4" t="s">
        <v>31</v>
      </c>
      <c r="K236" s="4" t="s">
        <v>13</v>
      </c>
      <c r="L236" s="4" t="s">
        <v>37</v>
      </c>
      <c r="M236" s="5">
        <v>45233</v>
      </c>
      <c r="N236" s="6">
        <v>299.98</v>
      </c>
    </row>
    <row r="237" spans="1:14" hidden="1">
      <c r="A237" s="4" t="s">
        <v>386</v>
      </c>
      <c r="B237" s="5">
        <v>45737</v>
      </c>
      <c r="C237" s="4" t="s">
        <v>154</v>
      </c>
      <c r="D237" s="4" t="s">
        <v>155</v>
      </c>
      <c r="E237" s="4" t="s">
        <v>66</v>
      </c>
      <c r="F237" s="4" t="s">
        <v>67</v>
      </c>
      <c r="G237" s="4" t="s">
        <v>6</v>
      </c>
      <c r="H237" s="4">
        <v>3</v>
      </c>
      <c r="I237" s="6">
        <v>899.99</v>
      </c>
      <c r="J237" s="4" t="s">
        <v>62</v>
      </c>
      <c r="K237" s="4" t="s">
        <v>11</v>
      </c>
      <c r="L237" s="4" t="s">
        <v>37</v>
      </c>
      <c r="M237" s="5">
        <v>44876</v>
      </c>
      <c r="N237" s="6">
        <v>2699.97</v>
      </c>
    </row>
    <row r="238" spans="1:14" hidden="1">
      <c r="A238" s="4" t="s">
        <v>387</v>
      </c>
      <c r="B238" s="5">
        <v>45737</v>
      </c>
      <c r="C238" s="4" t="s">
        <v>54</v>
      </c>
      <c r="D238" s="4" t="s">
        <v>55</v>
      </c>
      <c r="E238" s="4" t="s">
        <v>66</v>
      </c>
      <c r="F238" s="4" t="s">
        <v>67</v>
      </c>
      <c r="G238" s="4" t="s">
        <v>6</v>
      </c>
      <c r="H238" s="4">
        <v>3</v>
      </c>
      <c r="I238" s="6">
        <v>899.99</v>
      </c>
      <c r="J238" s="4" t="s">
        <v>43</v>
      </c>
      <c r="K238" s="4" t="s">
        <v>11</v>
      </c>
      <c r="L238" s="4" t="s">
        <v>32</v>
      </c>
      <c r="M238" s="5">
        <v>44975</v>
      </c>
      <c r="N238" s="6">
        <v>2699.97</v>
      </c>
    </row>
    <row r="239" spans="1:14" hidden="1">
      <c r="A239" s="4" t="s">
        <v>388</v>
      </c>
      <c r="B239" s="5">
        <v>45739</v>
      </c>
      <c r="C239" s="4" t="s">
        <v>27</v>
      </c>
      <c r="D239" s="4" t="s">
        <v>28</v>
      </c>
      <c r="E239" s="4" t="s">
        <v>109</v>
      </c>
      <c r="F239" s="4" t="s">
        <v>110</v>
      </c>
      <c r="G239" s="4" t="s">
        <v>7</v>
      </c>
      <c r="H239" s="4">
        <v>3</v>
      </c>
      <c r="I239" s="6">
        <v>299.99</v>
      </c>
      <c r="J239" s="4" t="s">
        <v>36</v>
      </c>
      <c r="K239" s="4" t="s">
        <v>13</v>
      </c>
      <c r="L239" s="4" t="s">
        <v>37</v>
      </c>
      <c r="M239" s="5">
        <v>45234</v>
      </c>
      <c r="N239" s="6">
        <v>899.97</v>
      </c>
    </row>
    <row r="240" spans="1:14" hidden="1">
      <c r="A240" s="4" t="s">
        <v>389</v>
      </c>
      <c r="B240" s="5">
        <v>45740</v>
      </c>
      <c r="C240" s="4" t="s">
        <v>390</v>
      </c>
      <c r="D240" s="4" t="s">
        <v>391</v>
      </c>
      <c r="E240" s="4" t="s">
        <v>51</v>
      </c>
      <c r="F240" s="4" t="s">
        <v>52</v>
      </c>
      <c r="G240" s="4" t="s">
        <v>7</v>
      </c>
      <c r="H240" s="4">
        <v>4</v>
      </c>
      <c r="I240" s="6">
        <v>149.99</v>
      </c>
      <c r="J240" s="4" t="s">
        <v>43</v>
      </c>
      <c r="K240" s="4" t="s">
        <v>13</v>
      </c>
      <c r="L240" s="4" t="s">
        <v>44</v>
      </c>
      <c r="M240" s="5">
        <v>44560</v>
      </c>
      <c r="N240" s="6">
        <v>599.96</v>
      </c>
    </row>
    <row r="241" spans="1:14" hidden="1">
      <c r="A241" s="4" t="s">
        <v>392</v>
      </c>
      <c r="B241" s="5">
        <v>45743</v>
      </c>
      <c r="C241" s="4" t="s">
        <v>106</v>
      </c>
      <c r="D241" s="4" t="s">
        <v>107</v>
      </c>
      <c r="E241" s="4" t="s">
        <v>118</v>
      </c>
      <c r="F241" s="4" t="s">
        <v>119</v>
      </c>
      <c r="G241" s="4" t="s">
        <v>5</v>
      </c>
      <c r="H241" s="4">
        <v>4</v>
      </c>
      <c r="I241" s="6">
        <v>79.989999999999995</v>
      </c>
      <c r="J241" s="4" t="s">
        <v>36</v>
      </c>
      <c r="K241" s="4" t="s">
        <v>9</v>
      </c>
      <c r="L241" s="4" t="s">
        <v>32</v>
      </c>
      <c r="M241" s="5">
        <v>45288</v>
      </c>
      <c r="N241" s="6">
        <v>319.95999999999998</v>
      </c>
    </row>
    <row r="242" spans="1:14" hidden="1">
      <c r="A242" s="4" t="s">
        <v>393</v>
      </c>
      <c r="B242" s="5">
        <v>45745</v>
      </c>
      <c r="C242" s="4" t="s">
        <v>189</v>
      </c>
      <c r="D242" s="4" t="s">
        <v>190</v>
      </c>
      <c r="E242" s="4" t="s">
        <v>121</v>
      </c>
      <c r="F242" s="4" t="s">
        <v>122</v>
      </c>
      <c r="G242" s="4" t="s">
        <v>6</v>
      </c>
      <c r="H242" s="4">
        <v>5</v>
      </c>
      <c r="I242" s="6">
        <v>89.99</v>
      </c>
      <c r="J242" s="4" t="s">
        <v>43</v>
      </c>
      <c r="K242" s="4" t="s">
        <v>12</v>
      </c>
      <c r="L242" s="4" t="s">
        <v>32</v>
      </c>
      <c r="M242" s="5">
        <v>44704</v>
      </c>
      <c r="N242" s="6">
        <v>449.95</v>
      </c>
    </row>
    <row r="243" spans="1:14" hidden="1">
      <c r="A243" s="4" t="s">
        <v>394</v>
      </c>
      <c r="B243" s="5">
        <v>45746</v>
      </c>
      <c r="C243" s="4" t="s">
        <v>97</v>
      </c>
      <c r="D243" s="4" t="s">
        <v>98</v>
      </c>
      <c r="E243" s="4" t="s">
        <v>51</v>
      </c>
      <c r="F243" s="4" t="s">
        <v>52</v>
      </c>
      <c r="G243" s="4" t="s">
        <v>7</v>
      </c>
      <c r="H243" s="4">
        <v>3</v>
      </c>
      <c r="I243" s="6">
        <v>149.99</v>
      </c>
      <c r="J243" s="4" t="s">
        <v>43</v>
      </c>
      <c r="K243" s="4" t="s">
        <v>9</v>
      </c>
      <c r="L243" s="4" t="s">
        <v>44</v>
      </c>
      <c r="M243" s="5">
        <v>45171</v>
      </c>
      <c r="N243" s="6">
        <v>449.97</v>
      </c>
    </row>
    <row r="244" spans="1:14" hidden="1">
      <c r="A244" s="4" t="s">
        <v>395</v>
      </c>
      <c r="B244" s="5">
        <v>45746</v>
      </c>
      <c r="C244" s="4" t="s">
        <v>69</v>
      </c>
      <c r="D244" s="4" t="s">
        <v>70</v>
      </c>
      <c r="E244" s="4" t="s">
        <v>121</v>
      </c>
      <c r="F244" s="4" t="s">
        <v>122</v>
      </c>
      <c r="G244" s="4" t="s">
        <v>6</v>
      </c>
      <c r="H244" s="4">
        <v>2</v>
      </c>
      <c r="I244" s="6">
        <v>89.99</v>
      </c>
      <c r="J244" s="4" t="s">
        <v>62</v>
      </c>
      <c r="K244" s="4" t="s">
        <v>13</v>
      </c>
      <c r="L244" s="4" t="s">
        <v>37</v>
      </c>
      <c r="M244" s="5">
        <v>44522</v>
      </c>
      <c r="N244" s="6">
        <v>179.98</v>
      </c>
    </row>
    <row r="245" spans="1:14" hidden="1">
      <c r="A245" s="4" t="s">
        <v>396</v>
      </c>
      <c r="B245" s="5">
        <v>45748</v>
      </c>
      <c r="C245" s="4" t="s">
        <v>106</v>
      </c>
      <c r="D245" s="4" t="s">
        <v>107</v>
      </c>
      <c r="E245" s="4" t="s">
        <v>84</v>
      </c>
      <c r="F245" s="4" t="s">
        <v>85</v>
      </c>
      <c r="G245" s="4" t="s">
        <v>6</v>
      </c>
      <c r="H245" s="4">
        <v>2</v>
      </c>
      <c r="I245" s="6">
        <v>699.99</v>
      </c>
      <c r="J245" s="4" t="s">
        <v>43</v>
      </c>
      <c r="K245" s="4" t="s">
        <v>11</v>
      </c>
      <c r="L245" s="4" t="s">
        <v>44</v>
      </c>
      <c r="M245" s="5">
        <v>44618</v>
      </c>
      <c r="N245" s="6">
        <v>1399.98</v>
      </c>
    </row>
    <row r="246" spans="1:14" hidden="1">
      <c r="A246" s="4" t="s">
        <v>397</v>
      </c>
      <c r="B246" s="5">
        <v>45749</v>
      </c>
      <c r="C246" s="4" t="s">
        <v>127</v>
      </c>
      <c r="D246" s="4" t="s">
        <v>128</v>
      </c>
      <c r="E246" s="4" t="s">
        <v>66</v>
      </c>
      <c r="F246" s="4" t="s">
        <v>67</v>
      </c>
      <c r="G246" s="4" t="s">
        <v>6</v>
      </c>
      <c r="H246" s="4">
        <v>3</v>
      </c>
      <c r="I246" s="6">
        <v>899.99</v>
      </c>
      <c r="J246" s="4" t="s">
        <v>31</v>
      </c>
      <c r="K246" s="4" t="s">
        <v>9</v>
      </c>
      <c r="L246" s="4" t="s">
        <v>44</v>
      </c>
      <c r="M246" s="5">
        <v>44953</v>
      </c>
      <c r="N246" s="6">
        <v>2699.97</v>
      </c>
    </row>
    <row r="247" spans="1:14" hidden="1">
      <c r="A247" s="4" t="s">
        <v>398</v>
      </c>
      <c r="B247" s="5">
        <v>45755</v>
      </c>
      <c r="C247" s="4" t="s">
        <v>97</v>
      </c>
      <c r="D247" s="4" t="s">
        <v>98</v>
      </c>
      <c r="E247" s="4" t="s">
        <v>118</v>
      </c>
      <c r="F247" s="4" t="s">
        <v>119</v>
      </c>
      <c r="G247" s="4" t="s">
        <v>5</v>
      </c>
      <c r="H247" s="4">
        <v>3</v>
      </c>
      <c r="I247" s="6">
        <v>79.989999999999995</v>
      </c>
      <c r="J247" s="4" t="s">
        <v>36</v>
      </c>
      <c r="K247" s="4" t="s">
        <v>11</v>
      </c>
      <c r="L247" s="4" t="s">
        <v>32</v>
      </c>
      <c r="M247" s="5">
        <v>44511</v>
      </c>
      <c r="N247" s="6">
        <v>239.97</v>
      </c>
    </row>
    <row r="248" spans="1:14">
      <c r="A248" s="4" t="s">
        <v>399</v>
      </c>
      <c r="B248" s="5">
        <v>45756</v>
      </c>
      <c r="C248" s="4" t="s">
        <v>64</v>
      </c>
      <c r="D248" s="4" t="s">
        <v>65</v>
      </c>
      <c r="E248" s="4" t="s">
        <v>121</v>
      </c>
      <c r="F248" s="4" t="s">
        <v>122</v>
      </c>
      <c r="G248" s="4" t="s">
        <v>6</v>
      </c>
      <c r="H248" s="4">
        <v>1</v>
      </c>
      <c r="I248" s="6">
        <v>89.99</v>
      </c>
      <c r="J248" s="4" t="s">
        <v>62</v>
      </c>
      <c r="K248" s="4" t="s">
        <v>10</v>
      </c>
      <c r="L248" s="4" t="s">
        <v>32</v>
      </c>
      <c r="M248" s="5">
        <v>45346</v>
      </c>
      <c r="N248" s="6">
        <v>89.99</v>
      </c>
    </row>
    <row r="249" spans="1:14" hidden="1">
      <c r="A249" s="4" t="s">
        <v>400</v>
      </c>
      <c r="B249" s="5">
        <v>45758</v>
      </c>
      <c r="C249" s="4" t="s">
        <v>297</v>
      </c>
      <c r="D249" s="4" t="s">
        <v>298</v>
      </c>
      <c r="E249" s="4" t="s">
        <v>84</v>
      </c>
      <c r="F249" s="4" t="s">
        <v>85</v>
      </c>
      <c r="G249" s="4" t="s">
        <v>6</v>
      </c>
      <c r="H249" s="4">
        <v>3</v>
      </c>
      <c r="I249" s="6">
        <v>699.99</v>
      </c>
      <c r="J249" s="4" t="s">
        <v>43</v>
      </c>
      <c r="K249" s="4" t="s">
        <v>11</v>
      </c>
      <c r="L249" s="4" t="s">
        <v>32</v>
      </c>
      <c r="M249" s="5">
        <v>44909</v>
      </c>
      <c r="N249" s="6">
        <v>2099.9699999999998</v>
      </c>
    </row>
    <row r="250" spans="1:14">
      <c r="A250" s="4" t="s">
        <v>401</v>
      </c>
      <c r="B250" s="5">
        <v>45758</v>
      </c>
      <c r="C250" s="4" t="s">
        <v>230</v>
      </c>
      <c r="D250" s="4" t="s">
        <v>231</v>
      </c>
      <c r="E250" s="4" t="s">
        <v>121</v>
      </c>
      <c r="F250" s="4" t="s">
        <v>122</v>
      </c>
      <c r="G250" s="4" t="s">
        <v>6</v>
      </c>
      <c r="H250" s="4">
        <v>2</v>
      </c>
      <c r="I250" s="6">
        <v>89.99</v>
      </c>
      <c r="J250" s="4" t="s">
        <v>62</v>
      </c>
      <c r="K250" s="4" t="s">
        <v>10</v>
      </c>
      <c r="L250" s="4" t="s">
        <v>32</v>
      </c>
      <c r="M250" s="5">
        <v>45088</v>
      </c>
      <c r="N250" s="6">
        <v>179.98</v>
      </c>
    </row>
    <row r="251" spans="1:14" hidden="1">
      <c r="A251" s="4" t="s">
        <v>402</v>
      </c>
      <c r="B251" s="5">
        <v>45758</v>
      </c>
      <c r="C251" s="4" t="s">
        <v>142</v>
      </c>
      <c r="D251" s="4" t="s">
        <v>143</v>
      </c>
      <c r="E251" s="4" t="s">
        <v>121</v>
      </c>
      <c r="F251" s="4" t="s">
        <v>122</v>
      </c>
      <c r="G251" s="4" t="s">
        <v>6</v>
      </c>
      <c r="H251" s="4">
        <v>3</v>
      </c>
      <c r="I251" s="6">
        <v>89.99</v>
      </c>
      <c r="J251" s="4" t="s">
        <v>62</v>
      </c>
      <c r="K251" s="4" t="s">
        <v>11</v>
      </c>
      <c r="L251" s="4" t="s">
        <v>37</v>
      </c>
      <c r="M251" s="5">
        <v>44878</v>
      </c>
      <c r="N251" s="6">
        <v>269.97000000000003</v>
      </c>
    </row>
    <row r="254" spans="1:14">
      <c r="C254" s="86"/>
    </row>
    <row r="255" spans="1:14">
      <c r="F255" s="86"/>
    </row>
  </sheetData>
  <pageMargins left="0.75" right="0.75" top="1" bottom="1" header="0.5" footer="0.5"/>
  <pageSetup fitToHeight="0" orientation="landscape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6DB6-CB2C-4085-A30B-E02A9272D665}">
  <dimension ref="A3:B17"/>
  <sheetViews>
    <sheetView workbookViewId="0">
      <selection activeCell="A7" sqref="A7"/>
    </sheetView>
  </sheetViews>
  <sheetFormatPr defaultRowHeight="15"/>
  <cols>
    <col min="1" max="1" width="12.5703125" bestFit="1" customWidth="1"/>
    <col min="2" max="2" width="21" bestFit="1" customWidth="1"/>
  </cols>
  <sheetData>
    <row r="3" spans="1:2">
      <c r="A3" s="88" t="s">
        <v>15</v>
      </c>
      <c r="B3" t="s">
        <v>2</v>
      </c>
    </row>
    <row r="4" spans="1:2">
      <c r="A4" s="89">
        <v>45718</v>
      </c>
      <c r="B4" s="86">
        <v>299.98</v>
      </c>
    </row>
    <row r="5" spans="1:2">
      <c r="A5" s="89">
        <v>45720</v>
      </c>
      <c r="B5" s="86">
        <v>3499.95</v>
      </c>
    </row>
    <row r="6" spans="1:2">
      <c r="A6" s="89">
        <v>45721</v>
      </c>
      <c r="B6" s="86">
        <v>299.95</v>
      </c>
    </row>
    <row r="7" spans="1:2">
      <c r="A7" s="89">
        <v>45723</v>
      </c>
      <c r="B7" s="86">
        <v>1429.93</v>
      </c>
    </row>
    <row r="8" spans="1:2">
      <c r="A8" s="89">
        <v>45724</v>
      </c>
      <c r="B8" s="86">
        <v>5399.8899999999994</v>
      </c>
    </row>
    <row r="9" spans="1:2">
      <c r="A9" s="89">
        <v>45726</v>
      </c>
      <c r="B9" s="86">
        <v>249.99</v>
      </c>
    </row>
    <row r="10" spans="1:2">
      <c r="A10" s="89">
        <v>45734</v>
      </c>
      <c r="B10" s="86">
        <v>119.98</v>
      </c>
    </row>
    <row r="11" spans="1:2">
      <c r="A11" s="89">
        <v>45737</v>
      </c>
      <c r="B11" s="86">
        <v>5699.92</v>
      </c>
    </row>
    <row r="12" spans="1:2">
      <c r="A12" s="89">
        <v>45739</v>
      </c>
      <c r="B12" s="86">
        <v>899.97</v>
      </c>
    </row>
    <row r="13" spans="1:2">
      <c r="A13" s="89">
        <v>45740</v>
      </c>
      <c r="B13" s="86">
        <v>599.96</v>
      </c>
    </row>
    <row r="14" spans="1:2">
      <c r="A14" s="89">
        <v>45743</v>
      </c>
      <c r="B14" s="86">
        <v>319.95999999999998</v>
      </c>
    </row>
    <row r="15" spans="1:2">
      <c r="A15" s="89">
        <v>45745</v>
      </c>
      <c r="B15" s="86">
        <v>449.95</v>
      </c>
    </row>
    <row r="16" spans="1:2">
      <c r="A16" s="89">
        <v>45746</v>
      </c>
      <c r="B16" s="86">
        <v>629.95000000000005</v>
      </c>
    </row>
    <row r="17" spans="1:2">
      <c r="A17" s="89" t="s">
        <v>8</v>
      </c>
      <c r="B17" s="86">
        <v>19899.38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3841-8C21-4BC8-AE83-784007A20248}">
  <dimension ref="A1:N34"/>
  <sheetViews>
    <sheetView workbookViewId="0"/>
  </sheetViews>
  <sheetFormatPr defaultRowHeight="15"/>
  <cols>
    <col min="1" max="1" width="17" bestFit="1" customWidth="1"/>
    <col min="2" max="2" width="11.42578125" bestFit="1" customWidth="1"/>
    <col min="3" max="3" width="15" bestFit="1" customWidth="1"/>
    <col min="4" max="4" width="18.5703125" bestFit="1" customWidth="1"/>
    <col min="5" max="5" width="13.42578125" bestFit="1" customWidth="1"/>
    <col min="6" max="6" width="16.85546875" bestFit="1" customWidth="1"/>
    <col min="7" max="7" width="11.42578125" bestFit="1" customWidth="1"/>
    <col min="8" max="8" width="11.28515625" bestFit="1" customWidth="1"/>
    <col min="9" max="9" width="12.7109375" bestFit="1" customWidth="1"/>
    <col min="10" max="10" width="19.85546875" bestFit="1" customWidth="1"/>
    <col min="11" max="11" width="9.5703125" bestFit="1" customWidth="1"/>
    <col min="12" max="12" width="21.28515625" bestFit="1" customWidth="1"/>
    <col min="13" max="13" width="17.85546875" bestFit="1" customWidth="1"/>
    <col min="14" max="14" width="16.42578125" bestFit="1" customWidth="1"/>
  </cols>
  <sheetData>
    <row r="1" spans="1:14">
      <c r="A1" s="91" t="s">
        <v>403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3</v>
      </c>
      <c r="H3" t="s">
        <v>20</v>
      </c>
      <c r="I3" t="s">
        <v>21</v>
      </c>
      <c r="J3" t="s">
        <v>22</v>
      </c>
      <c r="K3" t="s">
        <v>4</v>
      </c>
      <c r="L3" t="s">
        <v>23</v>
      </c>
      <c r="M3" t="s">
        <v>24</v>
      </c>
      <c r="N3" t="s">
        <v>25</v>
      </c>
    </row>
    <row r="4" spans="1:14">
      <c r="A4" t="s">
        <v>400</v>
      </c>
      <c r="B4" s="87">
        <v>45758</v>
      </c>
      <c r="C4" t="s">
        <v>297</v>
      </c>
      <c r="D4" t="s">
        <v>298</v>
      </c>
      <c r="E4" t="s">
        <v>84</v>
      </c>
      <c r="F4" t="s">
        <v>85</v>
      </c>
      <c r="G4" t="s">
        <v>6</v>
      </c>
      <c r="H4">
        <v>3</v>
      </c>
      <c r="I4">
        <v>699.99</v>
      </c>
      <c r="J4" t="s">
        <v>43</v>
      </c>
      <c r="K4" t="s">
        <v>11</v>
      </c>
      <c r="L4" t="s">
        <v>32</v>
      </c>
      <c r="M4" s="87">
        <v>44909</v>
      </c>
      <c r="N4">
        <v>2099.9699999999998</v>
      </c>
    </row>
    <row r="5" spans="1:14">
      <c r="A5" t="s">
        <v>396</v>
      </c>
      <c r="B5" s="87">
        <v>45748</v>
      </c>
      <c r="C5" t="s">
        <v>106</v>
      </c>
      <c r="D5" t="s">
        <v>107</v>
      </c>
      <c r="E5" t="s">
        <v>84</v>
      </c>
      <c r="F5" t="s">
        <v>85</v>
      </c>
      <c r="G5" t="s">
        <v>6</v>
      </c>
      <c r="H5">
        <v>2</v>
      </c>
      <c r="I5">
        <v>699.99</v>
      </c>
      <c r="J5" t="s">
        <v>43</v>
      </c>
      <c r="K5" t="s">
        <v>11</v>
      </c>
      <c r="L5" t="s">
        <v>44</v>
      </c>
      <c r="M5" s="87">
        <v>44618</v>
      </c>
      <c r="N5">
        <v>1399.98</v>
      </c>
    </row>
    <row r="6" spans="1:14">
      <c r="A6" t="s">
        <v>376</v>
      </c>
      <c r="B6" s="87">
        <v>45720</v>
      </c>
      <c r="C6" t="s">
        <v>230</v>
      </c>
      <c r="D6" t="s">
        <v>231</v>
      </c>
      <c r="E6" t="s">
        <v>84</v>
      </c>
      <c r="F6" t="s">
        <v>85</v>
      </c>
      <c r="G6" t="s">
        <v>6</v>
      </c>
      <c r="H6">
        <v>5</v>
      </c>
      <c r="I6">
        <v>699.99</v>
      </c>
      <c r="J6" t="s">
        <v>62</v>
      </c>
      <c r="K6" t="s">
        <v>10</v>
      </c>
      <c r="L6" t="s">
        <v>37</v>
      </c>
      <c r="M6" s="87">
        <v>45161</v>
      </c>
      <c r="N6">
        <v>3499.95</v>
      </c>
    </row>
    <row r="7" spans="1:14">
      <c r="A7" t="s">
        <v>369</v>
      </c>
      <c r="B7" s="87">
        <v>45711</v>
      </c>
      <c r="C7" t="s">
        <v>250</v>
      </c>
      <c r="D7" t="s">
        <v>251</v>
      </c>
      <c r="E7" t="s">
        <v>84</v>
      </c>
      <c r="F7" t="s">
        <v>85</v>
      </c>
      <c r="G7" t="s">
        <v>6</v>
      </c>
      <c r="H7">
        <v>1</v>
      </c>
      <c r="I7">
        <v>699.99</v>
      </c>
      <c r="J7" t="s">
        <v>31</v>
      </c>
      <c r="K7" t="s">
        <v>11</v>
      </c>
      <c r="L7" t="s">
        <v>37</v>
      </c>
      <c r="M7" s="87">
        <v>44583</v>
      </c>
      <c r="N7">
        <v>699.99</v>
      </c>
    </row>
    <row r="8" spans="1:14">
      <c r="A8" t="s">
        <v>368</v>
      </c>
      <c r="B8" s="87">
        <v>45710</v>
      </c>
      <c r="C8" t="s">
        <v>154</v>
      </c>
      <c r="D8" t="s">
        <v>155</v>
      </c>
      <c r="E8" t="s">
        <v>84</v>
      </c>
      <c r="F8" t="s">
        <v>85</v>
      </c>
      <c r="G8" t="s">
        <v>6</v>
      </c>
      <c r="H8">
        <v>1</v>
      </c>
      <c r="I8">
        <v>699.99</v>
      </c>
      <c r="J8" t="s">
        <v>43</v>
      </c>
      <c r="K8" t="s">
        <v>13</v>
      </c>
      <c r="L8" t="s">
        <v>32</v>
      </c>
      <c r="M8" s="87">
        <v>44934</v>
      </c>
      <c r="N8">
        <v>699.99</v>
      </c>
    </row>
    <row r="9" spans="1:14">
      <c r="A9" t="s">
        <v>363</v>
      </c>
      <c r="B9" s="87">
        <v>45707</v>
      </c>
      <c r="C9" t="s">
        <v>127</v>
      </c>
      <c r="D9" t="s">
        <v>128</v>
      </c>
      <c r="E9" t="s">
        <v>84</v>
      </c>
      <c r="F9" t="s">
        <v>85</v>
      </c>
      <c r="G9" t="s">
        <v>6</v>
      </c>
      <c r="H9">
        <v>5</v>
      </c>
      <c r="I9">
        <v>699.99</v>
      </c>
      <c r="J9" t="s">
        <v>43</v>
      </c>
      <c r="K9" t="s">
        <v>12</v>
      </c>
      <c r="L9" t="s">
        <v>37</v>
      </c>
      <c r="M9" s="87">
        <v>45352</v>
      </c>
      <c r="N9">
        <v>3499.95</v>
      </c>
    </row>
    <row r="10" spans="1:14">
      <c r="A10" t="s">
        <v>352</v>
      </c>
      <c r="B10" s="87">
        <v>45688</v>
      </c>
      <c r="C10" t="s">
        <v>69</v>
      </c>
      <c r="D10" t="s">
        <v>70</v>
      </c>
      <c r="E10" t="s">
        <v>84</v>
      </c>
      <c r="F10" t="s">
        <v>85</v>
      </c>
      <c r="G10" t="s">
        <v>6</v>
      </c>
      <c r="H10">
        <v>4</v>
      </c>
      <c r="I10">
        <v>699.99</v>
      </c>
      <c r="J10" t="s">
        <v>62</v>
      </c>
      <c r="K10" t="s">
        <v>13</v>
      </c>
      <c r="L10" t="s">
        <v>37</v>
      </c>
      <c r="M10" s="87">
        <v>44692</v>
      </c>
      <c r="N10">
        <v>2799.96</v>
      </c>
    </row>
    <row r="11" spans="1:14">
      <c r="A11" t="s">
        <v>351</v>
      </c>
      <c r="B11" s="87">
        <v>45686</v>
      </c>
      <c r="C11" t="s">
        <v>297</v>
      </c>
      <c r="D11" t="s">
        <v>298</v>
      </c>
      <c r="E11" t="s">
        <v>84</v>
      </c>
      <c r="F11" t="s">
        <v>85</v>
      </c>
      <c r="G11" t="s">
        <v>6</v>
      </c>
      <c r="H11">
        <v>2</v>
      </c>
      <c r="I11">
        <v>699.99</v>
      </c>
      <c r="J11" t="s">
        <v>62</v>
      </c>
      <c r="K11" t="s">
        <v>9</v>
      </c>
      <c r="L11" t="s">
        <v>37</v>
      </c>
      <c r="M11" s="87">
        <v>44681</v>
      </c>
      <c r="N11">
        <v>1399.98</v>
      </c>
    </row>
    <row r="12" spans="1:14">
      <c r="A12" t="s">
        <v>337</v>
      </c>
      <c r="B12" s="87">
        <v>45668</v>
      </c>
      <c r="C12" t="s">
        <v>82</v>
      </c>
      <c r="D12" t="s">
        <v>83</v>
      </c>
      <c r="E12" t="s">
        <v>84</v>
      </c>
      <c r="F12" t="s">
        <v>85</v>
      </c>
      <c r="G12" t="s">
        <v>6</v>
      </c>
      <c r="H12">
        <v>3</v>
      </c>
      <c r="I12">
        <v>699.99</v>
      </c>
      <c r="J12" t="s">
        <v>31</v>
      </c>
      <c r="K12" t="s">
        <v>11</v>
      </c>
      <c r="L12" t="s">
        <v>37</v>
      </c>
      <c r="M12" s="87">
        <v>44602</v>
      </c>
      <c r="N12">
        <v>2099.9699999999998</v>
      </c>
    </row>
    <row r="13" spans="1:14">
      <c r="A13" t="s">
        <v>333</v>
      </c>
      <c r="B13" s="87">
        <v>45666</v>
      </c>
      <c r="C13" t="s">
        <v>69</v>
      </c>
      <c r="D13" t="s">
        <v>70</v>
      </c>
      <c r="E13" t="s">
        <v>84</v>
      </c>
      <c r="F13" t="s">
        <v>85</v>
      </c>
      <c r="G13" t="s">
        <v>6</v>
      </c>
      <c r="H13">
        <v>3</v>
      </c>
      <c r="I13">
        <v>699.99</v>
      </c>
      <c r="J13" t="s">
        <v>36</v>
      </c>
      <c r="K13" t="s">
        <v>9</v>
      </c>
      <c r="L13" t="s">
        <v>37</v>
      </c>
      <c r="M13" s="87">
        <v>45105</v>
      </c>
      <c r="N13">
        <v>2099.9699999999998</v>
      </c>
    </row>
    <row r="14" spans="1:14">
      <c r="A14" t="s">
        <v>305</v>
      </c>
      <c r="B14" s="87">
        <v>45630</v>
      </c>
      <c r="C14" t="s">
        <v>54</v>
      </c>
      <c r="D14" t="s">
        <v>55</v>
      </c>
      <c r="E14" t="s">
        <v>84</v>
      </c>
      <c r="F14" t="s">
        <v>85</v>
      </c>
      <c r="G14" t="s">
        <v>6</v>
      </c>
      <c r="H14">
        <v>4</v>
      </c>
      <c r="I14">
        <v>699.99</v>
      </c>
      <c r="J14" t="s">
        <v>36</v>
      </c>
      <c r="K14" t="s">
        <v>11</v>
      </c>
      <c r="L14" t="s">
        <v>37</v>
      </c>
      <c r="M14" s="87">
        <v>44703</v>
      </c>
      <c r="N14">
        <v>2799.96</v>
      </c>
    </row>
    <row r="15" spans="1:14">
      <c r="A15" t="s">
        <v>303</v>
      </c>
      <c r="B15" s="87">
        <v>45627</v>
      </c>
      <c r="C15" t="s">
        <v>90</v>
      </c>
      <c r="D15" t="s">
        <v>91</v>
      </c>
      <c r="E15" t="s">
        <v>84</v>
      </c>
      <c r="F15" t="s">
        <v>85</v>
      </c>
      <c r="G15" t="s">
        <v>6</v>
      </c>
      <c r="H15">
        <v>5</v>
      </c>
      <c r="I15">
        <v>699.99</v>
      </c>
      <c r="J15" t="s">
        <v>62</v>
      </c>
      <c r="K15" t="s">
        <v>13</v>
      </c>
      <c r="L15" t="s">
        <v>44</v>
      </c>
      <c r="M15" s="87">
        <v>44944</v>
      </c>
      <c r="N15">
        <v>3499.95</v>
      </c>
    </row>
    <row r="16" spans="1:14">
      <c r="A16" t="s">
        <v>295</v>
      </c>
      <c r="B16" s="87">
        <v>45619</v>
      </c>
      <c r="C16" t="s">
        <v>158</v>
      </c>
      <c r="D16" t="s">
        <v>159</v>
      </c>
      <c r="E16" t="s">
        <v>84</v>
      </c>
      <c r="F16" t="s">
        <v>85</v>
      </c>
      <c r="G16" t="s">
        <v>6</v>
      </c>
      <c r="H16">
        <v>3</v>
      </c>
      <c r="I16">
        <v>699.99</v>
      </c>
      <c r="J16" t="s">
        <v>43</v>
      </c>
      <c r="K16" t="s">
        <v>13</v>
      </c>
      <c r="L16" t="s">
        <v>44</v>
      </c>
      <c r="M16" s="87">
        <v>44583</v>
      </c>
      <c r="N16">
        <v>2099.9699999999998</v>
      </c>
    </row>
    <row r="17" spans="1:14">
      <c r="A17" t="s">
        <v>292</v>
      </c>
      <c r="B17" s="87">
        <v>45613</v>
      </c>
      <c r="C17" t="s">
        <v>90</v>
      </c>
      <c r="D17" t="s">
        <v>91</v>
      </c>
      <c r="E17" t="s">
        <v>84</v>
      </c>
      <c r="F17" t="s">
        <v>85</v>
      </c>
      <c r="G17" t="s">
        <v>6</v>
      </c>
      <c r="H17">
        <v>2</v>
      </c>
      <c r="I17">
        <v>699.99</v>
      </c>
      <c r="J17" t="s">
        <v>43</v>
      </c>
      <c r="K17" t="s">
        <v>13</v>
      </c>
      <c r="L17" t="s">
        <v>44</v>
      </c>
      <c r="M17" s="87">
        <v>44770</v>
      </c>
      <c r="N17">
        <v>1399.98</v>
      </c>
    </row>
    <row r="18" spans="1:14">
      <c r="A18" t="s">
        <v>81</v>
      </c>
      <c r="B18" s="87">
        <v>45409</v>
      </c>
      <c r="C18" t="s">
        <v>82</v>
      </c>
      <c r="D18" t="s">
        <v>83</v>
      </c>
      <c r="E18" t="s">
        <v>84</v>
      </c>
      <c r="F18" t="s">
        <v>85</v>
      </c>
      <c r="G18" t="s">
        <v>6</v>
      </c>
      <c r="H18">
        <v>3</v>
      </c>
      <c r="I18">
        <v>699.99</v>
      </c>
      <c r="J18" t="s">
        <v>36</v>
      </c>
      <c r="K18" t="s">
        <v>13</v>
      </c>
      <c r="L18" t="s">
        <v>32</v>
      </c>
      <c r="M18" s="87">
        <v>44577</v>
      </c>
      <c r="N18">
        <v>2099.9699999999998</v>
      </c>
    </row>
    <row r="19" spans="1:14">
      <c r="A19" t="s">
        <v>279</v>
      </c>
      <c r="B19" s="87">
        <v>45589</v>
      </c>
      <c r="C19" t="s">
        <v>162</v>
      </c>
      <c r="D19" t="s">
        <v>163</v>
      </c>
      <c r="E19" t="s">
        <v>84</v>
      </c>
      <c r="F19" t="s">
        <v>85</v>
      </c>
      <c r="G19" t="s">
        <v>6</v>
      </c>
      <c r="H19">
        <v>5</v>
      </c>
      <c r="I19">
        <v>699.99</v>
      </c>
      <c r="J19" t="s">
        <v>31</v>
      </c>
      <c r="K19" t="s">
        <v>11</v>
      </c>
      <c r="L19" t="s">
        <v>37</v>
      </c>
      <c r="M19" s="87">
        <v>44635</v>
      </c>
      <c r="N19">
        <v>3499.95</v>
      </c>
    </row>
    <row r="20" spans="1:14">
      <c r="A20" t="s">
        <v>278</v>
      </c>
      <c r="B20" s="87">
        <v>45588</v>
      </c>
      <c r="C20" t="s">
        <v>158</v>
      </c>
      <c r="D20" t="s">
        <v>159</v>
      </c>
      <c r="E20" t="s">
        <v>84</v>
      </c>
      <c r="F20" t="s">
        <v>85</v>
      </c>
      <c r="G20" t="s">
        <v>6</v>
      </c>
      <c r="H20">
        <v>2</v>
      </c>
      <c r="I20">
        <v>699.99</v>
      </c>
      <c r="J20" t="s">
        <v>31</v>
      </c>
      <c r="K20" t="s">
        <v>9</v>
      </c>
      <c r="L20" t="s">
        <v>32</v>
      </c>
      <c r="M20" s="87">
        <v>44992</v>
      </c>
      <c r="N20">
        <v>1399.98</v>
      </c>
    </row>
    <row r="21" spans="1:14">
      <c r="A21" t="s">
        <v>92</v>
      </c>
      <c r="B21" s="87">
        <v>45410</v>
      </c>
      <c r="C21" t="s">
        <v>93</v>
      </c>
      <c r="D21" t="s">
        <v>94</v>
      </c>
      <c r="E21" t="s">
        <v>84</v>
      </c>
      <c r="F21" t="s">
        <v>85</v>
      </c>
      <c r="G21" t="s">
        <v>6</v>
      </c>
      <c r="H21">
        <v>2</v>
      </c>
      <c r="I21">
        <v>699.99</v>
      </c>
      <c r="J21" t="s">
        <v>31</v>
      </c>
      <c r="K21" t="s">
        <v>11</v>
      </c>
      <c r="L21" t="s">
        <v>32</v>
      </c>
      <c r="M21" s="87">
        <v>44781</v>
      </c>
      <c r="N21">
        <v>1399.98</v>
      </c>
    </row>
    <row r="22" spans="1:14">
      <c r="A22" t="s">
        <v>273</v>
      </c>
      <c r="B22" s="87">
        <v>45581</v>
      </c>
      <c r="C22" t="s">
        <v>175</v>
      </c>
      <c r="D22" t="s">
        <v>176</v>
      </c>
      <c r="E22" t="s">
        <v>84</v>
      </c>
      <c r="F22" t="s">
        <v>85</v>
      </c>
      <c r="G22" t="s">
        <v>6</v>
      </c>
      <c r="H22">
        <v>4</v>
      </c>
      <c r="I22">
        <v>699.99</v>
      </c>
      <c r="J22" t="s">
        <v>36</v>
      </c>
      <c r="K22" t="s">
        <v>9</v>
      </c>
      <c r="L22" t="s">
        <v>32</v>
      </c>
      <c r="M22" s="87">
        <v>45385</v>
      </c>
      <c r="N22">
        <v>2799.96</v>
      </c>
    </row>
    <row r="23" spans="1:14">
      <c r="A23" t="s">
        <v>272</v>
      </c>
      <c r="B23" s="87">
        <v>45581</v>
      </c>
      <c r="C23" t="s">
        <v>100</v>
      </c>
      <c r="D23" t="s">
        <v>101</v>
      </c>
      <c r="E23" t="s">
        <v>84</v>
      </c>
      <c r="F23" t="s">
        <v>85</v>
      </c>
      <c r="G23" t="s">
        <v>6</v>
      </c>
      <c r="H23">
        <v>5</v>
      </c>
      <c r="I23">
        <v>699.99</v>
      </c>
      <c r="J23" t="s">
        <v>31</v>
      </c>
      <c r="K23" t="s">
        <v>10</v>
      </c>
      <c r="L23" t="s">
        <v>44</v>
      </c>
      <c r="M23" s="87">
        <v>45008</v>
      </c>
      <c r="N23">
        <v>3499.95</v>
      </c>
    </row>
    <row r="24" spans="1:14">
      <c r="A24" t="s">
        <v>99</v>
      </c>
      <c r="B24" s="87">
        <v>45412</v>
      </c>
      <c r="C24" t="s">
        <v>100</v>
      </c>
      <c r="D24" t="s">
        <v>101</v>
      </c>
      <c r="E24" t="s">
        <v>84</v>
      </c>
      <c r="F24" t="s">
        <v>85</v>
      </c>
      <c r="G24" t="s">
        <v>6</v>
      </c>
      <c r="H24">
        <v>5</v>
      </c>
      <c r="I24">
        <v>699.99</v>
      </c>
      <c r="J24" t="s">
        <v>31</v>
      </c>
      <c r="K24" t="s">
        <v>13</v>
      </c>
      <c r="L24" t="s">
        <v>32</v>
      </c>
      <c r="M24" s="87">
        <v>45167</v>
      </c>
      <c r="N24">
        <v>3499.95</v>
      </c>
    </row>
    <row r="25" spans="1:14">
      <c r="A25" t="s">
        <v>102</v>
      </c>
      <c r="B25" s="87">
        <v>45413</v>
      </c>
      <c r="C25" t="s">
        <v>103</v>
      </c>
      <c r="D25" t="s">
        <v>104</v>
      </c>
      <c r="E25" t="s">
        <v>84</v>
      </c>
      <c r="F25" t="s">
        <v>85</v>
      </c>
      <c r="G25" t="s">
        <v>6</v>
      </c>
      <c r="H25">
        <v>4</v>
      </c>
      <c r="I25">
        <v>699.99</v>
      </c>
      <c r="J25" t="s">
        <v>31</v>
      </c>
      <c r="K25" t="s">
        <v>10</v>
      </c>
      <c r="L25" t="s">
        <v>44</v>
      </c>
      <c r="M25" s="87">
        <v>44409</v>
      </c>
      <c r="N25">
        <v>2799.96</v>
      </c>
    </row>
    <row r="26" spans="1:14">
      <c r="A26" t="s">
        <v>268</v>
      </c>
      <c r="B26" s="87">
        <v>45573</v>
      </c>
      <c r="C26" t="s">
        <v>215</v>
      </c>
      <c r="D26" t="s">
        <v>216</v>
      </c>
      <c r="E26" t="s">
        <v>84</v>
      </c>
      <c r="F26" t="s">
        <v>85</v>
      </c>
      <c r="G26" t="s">
        <v>6</v>
      </c>
      <c r="H26">
        <v>2</v>
      </c>
      <c r="I26">
        <v>699.99</v>
      </c>
      <c r="J26" t="s">
        <v>62</v>
      </c>
      <c r="K26" t="s">
        <v>10</v>
      </c>
      <c r="L26" t="s">
        <v>37</v>
      </c>
      <c r="M26" s="87">
        <v>45274</v>
      </c>
      <c r="N26">
        <v>1399.98</v>
      </c>
    </row>
    <row r="27" spans="1:14">
      <c r="A27" t="s">
        <v>258</v>
      </c>
      <c r="B27" s="87">
        <v>45554</v>
      </c>
      <c r="C27" t="s">
        <v>76</v>
      </c>
      <c r="D27" t="s">
        <v>77</v>
      </c>
      <c r="E27" t="s">
        <v>84</v>
      </c>
      <c r="F27" t="s">
        <v>85</v>
      </c>
      <c r="G27" t="s">
        <v>6</v>
      </c>
      <c r="H27">
        <v>4</v>
      </c>
      <c r="I27">
        <v>699.99</v>
      </c>
      <c r="J27" t="s">
        <v>43</v>
      </c>
      <c r="K27" t="s">
        <v>12</v>
      </c>
      <c r="L27" t="s">
        <v>32</v>
      </c>
      <c r="M27" s="87">
        <v>44618</v>
      </c>
      <c r="N27">
        <v>2799.96</v>
      </c>
    </row>
    <row r="28" spans="1:14">
      <c r="A28" t="s">
        <v>242</v>
      </c>
      <c r="B28" s="87">
        <v>45538</v>
      </c>
      <c r="C28" t="s">
        <v>230</v>
      </c>
      <c r="D28" t="s">
        <v>231</v>
      </c>
      <c r="E28" t="s">
        <v>84</v>
      </c>
      <c r="F28" t="s">
        <v>85</v>
      </c>
      <c r="G28" t="s">
        <v>6</v>
      </c>
      <c r="H28">
        <v>2</v>
      </c>
      <c r="I28">
        <v>699.99</v>
      </c>
      <c r="J28" t="s">
        <v>62</v>
      </c>
      <c r="K28" t="s">
        <v>9</v>
      </c>
      <c r="L28" t="s">
        <v>37</v>
      </c>
      <c r="M28" s="87">
        <v>44870</v>
      </c>
      <c r="N28">
        <v>1399.98</v>
      </c>
    </row>
    <row r="29" spans="1:14">
      <c r="A29" t="s">
        <v>237</v>
      </c>
      <c r="B29" s="87">
        <v>45534</v>
      </c>
      <c r="C29" t="s">
        <v>238</v>
      </c>
      <c r="D29" t="s">
        <v>239</v>
      </c>
      <c r="E29" t="s">
        <v>84</v>
      </c>
      <c r="F29" t="s">
        <v>85</v>
      </c>
      <c r="G29" t="s">
        <v>6</v>
      </c>
      <c r="H29">
        <v>2</v>
      </c>
      <c r="I29">
        <v>699.99</v>
      </c>
      <c r="J29" t="s">
        <v>36</v>
      </c>
      <c r="K29" t="s">
        <v>11</v>
      </c>
      <c r="L29" t="s">
        <v>37</v>
      </c>
      <c r="M29" s="87">
        <v>44421</v>
      </c>
      <c r="N29">
        <v>1399.98</v>
      </c>
    </row>
    <row r="30" spans="1:14">
      <c r="A30" t="s">
        <v>233</v>
      </c>
      <c r="B30" s="87">
        <v>45532</v>
      </c>
      <c r="C30" t="s">
        <v>200</v>
      </c>
      <c r="D30" t="s">
        <v>201</v>
      </c>
      <c r="E30" t="s">
        <v>84</v>
      </c>
      <c r="F30" t="s">
        <v>85</v>
      </c>
      <c r="G30" t="s">
        <v>6</v>
      </c>
      <c r="H30">
        <v>1</v>
      </c>
      <c r="I30">
        <v>699.99</v>
      </c>
      <c r="J30" t="s">
        <v>31</v>
      </c>
      <c r="K30" t="s">
        <v>9</v>
      </c>
      <c r="L30" t="s">
        <v>37</v>
      </c>
      <c r="M30" s="87">
        <v>44497</v>
      </c>
      <c r="N30">
        <v>699.99</v>
      </c>
    </row>
    <row r="31" spans="1:14">
      <c r="A31" t="s">
        <v>212</v>
      </c>
      <c r="B31" s="87">
        <v>45503</v>
      </c>
      <c r="C31" t="s">
        <v>90</v>
      </c>
      <c r="D31" t="s">
        <v>91</v>
      </c>
      <c r="E31" t="s">
        <v>84</v>
      </c>
      <c r="F31" t="s">
        <v>85</v>
      </c>
      <c r="G31" t="s">
        <v>6</v>
      </c>
      <c r="H31">
        <v>2</v>
      </c>
      <c r="I31">
        <v>699.99</v>
      </c>
      <c r="J31" t="s">
        <v>36</v>
      </c>
      <c r="K31" t="s">
        <v>11</v>
      </c>
      <c r="L31" t="s">
        <v>37</v>
      </c>
      <c r="M31" s="87">
        <v>44999</v>
      </c>
      <c r="N31">
        <v>1399.98</v>
      </c>
    </row>
    <row r="32" spans="1:14">
      <c r="A32" t="s">
        <v>191</v>
      </c>
      <c r="B32" s="87">
        <v>45481</v>
      </c>
      <c r="C32" t="s">
        <v>49</v>
      </c>
      <c r="D32" t="s">
        <v>50</v>
      </c>
      <c r="E32" t="s">
        <v>84</v>
      </c>
      <c r="F32" t="s">
        <v>85</v>
      </c>
      <c r="G32" t="s">
        <v>6</v>
      </c>
      <c r="H32">
        <v>2</v>
      </c>
      <c r="I32">
        <v>699.99</v>
      </c>
      <c r="J32" t="s">
        <v>43</v>
      </c>
      <c r="K32" t="s">
        <v>10</v>
      </c>
      <c r="L32" t="s">
        <v>37</v>
      </c>
      <c r="M32" s="87">
        <v>45389</v>
      </c>
      <c r="N32">
        <v>1399.98</v>
      </c>
    </row>
    <row r="33" spans="1:14">
      <c r="A33" t="s">
        <v>179</v>
      </c>
      <c r="B33" s="87">
        <v>45471</v>
      </c>
      <c r="C33" t="s">
        <v>46</v>
      </c>
      <c r="D33" t="s">
        <v>47</v>
      </c>
      <c r="E33" t="s">
        <v>84</v>
      </c>
      <c r="F33" t="s">
        <v>85</v>
      </c>
      <c r="G33" t="s">
        <v>6</v>
      </c>
      <c r="H33">
        <v>3</v>
      </c>
      <c r="I33">
        <v>699.99</v>
      </c>
      <c r="J33" t="s">
        <v>36</v>
      </c>
      <c r="K33" t="s">
        <v>10</v>
      </c>
      <c r="L33" t="s">
        <v>37</v>
      </c>
      <c r="M33" s="87">
        <v>45102</v>
      </c>
      <c r="N33">
        <v>2099.9699999999998</v>
      </c>
    </row>
    <row r="34" spans="1:14">
      <c r="A34" t="s">
        <v>144</v>
      </c>
      <c r="B34" s="87">
        <v>45440</v>
      </c>
      <c r="C34" t="s">
        <v>145</v>
      </c>
      <c r="D34" t="s">
        <v>146</v>
      </c>
      <c r="E34" t="s">
        <v>84</v>
      </c>
      <c r="F34" t="s">
        <v>85</v>
      </c>
      <c r="G34" t="s">
        <v>6</v>
      </c>
      <c r="H34">
        <v>5</v>
      </c>
      <c r="I34">
        <v>699.99</v>
      </c>
      <c r="J34" t="s">
        <v>43</v>
      </c>
      <c r="K34" t="s">
        <v>13</v>
      </c>
      <c r="L34" t="s">
        <v>44</v>
      </c>
      <c r="M34" s="87">
        <v>44407</v>
      </c>
      <c r="N34">
        <v>3499.95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F6EF-AEF4-4A07-82AC-DF9E2B8322ED}">
  <dimension ref="A3:C14"/>
  <sheetViews>
    <sheetView workbookViewId="0">
      <selection activeCell="B6" sqref="B6"/>
    </sheetView>
  </sheetViews>
  <sheetFormatPr defaultRowHeight="15"/>
  <cols>
    <col min="1" max="1" width="17.7109375" bestFit="1" customWidth="1"/>
    <col min="2" max="2" width="21" bestFit="1" customWidth="1"/>
    <col min="3" max="3" width="15.85546875" bestFit="1" customWidth="1"/>
  </cols>
  <sheetData>
    <row r="3" spans="1:3">
      <c r="A3" s="88" t="s">
        <v>19</v>
      </c>
      <c r="B3" t="s">
        <v>2</v>
      </c>
      <c r="C3" t="s">
        <v>404</v>
      </c>
    </row>
    <row r="4" spans="1:3">
      <c r="A4" t="s">
        <v>52</v>
      </c>
      <c r="B4" s="86">
        <v>15298.979999999994</v>
      </c>
      <c r="C4" s="90">
        <v>102</v>
      </c>
    </row>
    <row r="5" spans="1:3">
      <c r="A5" t="s">
        <v>85</v>
      </c>
      <c r="B5" s="86">
        <v>67199.039999999994</v>
      </c>
      <c r="C5" s="90">
        <v>96</v>
      </c>
    </row>
    <row r="6" spans="1:3">
      <c r="A6" t="s">
        <v>122</v>
      </c>
      <c r="B6" s="86">
        <v>8009.1099999999969</v>
      </c>
      <c r="C6" s="90">
        <v>89</v>
      </c>
    </row>
    <row r="7" spans="1:3">
      <c r="A7" t="s">
        <v>30</v>
      </c>
      <c r="B7" s="86">
        <v>21999.119999999999</v>
      </c>
      <c r="C7" s="90">
        <v>88</v>
      </c>
    </row>
    <row r="8" spans="1:3">
      <c r="A8" t="s">
        <v>42</v>
      </c>
      <c r="B8" s="86">
        <v>5219.1299999999974</v>
      </c>
      <c r="C8" s="90">
        <v>87</v>
      </c>
    </row>
    <row r="9" spans="1:3">
      <c r="A9" t="s">
        <v>110</v>
      </c>
      <c r="B9" s="86">
        <v>23399.22</v>
      </c>
      <c r="C9" s="90">
        <v>78</v>
      </c>
    </row>
    <row r="10" spans="1:3">
      <c r="A10" t="s">
        <v>67</v>
      </c>
      <c r="B10" s="86">
        <v>67499.25</v>
      </c>
      <c r="C10" s="90">
        <v>75</v>
      </c>
    </row>
    <row r="11" spans="1:3">
      <c r="A11" t="s">
        <v>131</v>
      </c>
      <c r="B11" s="86">
        <v>10399.479999999998</v>
      </c>
      <c r="C11" s="90">
        <v>52</v>
      </c>
    </row>
    <row r="12" spans="1:3">
      <c r="A12" t="s">
        <v>58</v>
      </c>
      <c r="B12" s="86">
        <v>7049.5299999999988</v>
      </c>
      <c r="C12" s="90">
        <v>47</v>
      </c>
    </row>
    <row r="13" spans="1:3">
      <c r="A13" t="s">
        <v>119</v>
      </c>
      <c r="B13" s="86">
        <v>3119.6099999999992</v>
      </c>
      <c r="C13" s="90">
        <v>39</v>
      </c>
    </row>
    <row r="14" spans="1:3">
      <c r="A14" t="s">
        <v>8</v>
      </c>
      <c r="B14" s="86">
        <v>229192.46999999994</v>
      </c>
      <c r="C14" s="90">
        <v>753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5F"/>
    <pageSetUpPr fitToPage="1"/>
  </sheetPr>
  <dimension ref="A1:N562"/>
  <sheetViews>
    <sheetView showGridLines="0" tabSelected="1" topLeftCell="A105" workbookViewId="0">
      <selection activeCell="A115" sqref="A115"/>
    </sheetView>
  </sheetViews>
  <sheetFormatPr defaultRowHeight="15"/>
  <cols>
    <col min="1" max="1" width="34" customWidth="1"/>
    <col min="2" max="14" width="16" customWidth="1"/>
  </cols>
  <sheetData>
    <row r="1" spans="1:4">
      <c r="A1" s="7" t="s">
        <v>405</v>
      </c>
    </row>
    <row r="2" spans="1:4">
      <c r="A2" s="8" t="s">
        <v>406</v>
      </c>
    </row>
    <row r="3" spans="1:4">
      <c r="A3" s="9" t="s">
        <v>407</v>
      </c>
    </row>
    <row r="4" spans="1:4">
      <c r="A4" s="10" t="str">
        <f>HYPERLINK("#Analysis!A19","1. Summary Insights")</f>
        <v>1. Summary Insights</v>
      </c>
      <c r="D4" s="10" t="str">
        <f>HYPERLINK("#Analysis!A108","7. Customer Analysis")</f>
        <v>7. Customer Analysis</v>
      </c>
    </row>
    <row r="5" spans="1:4">
      <c r="A5" s="10" t="str">
        <f>HYPERLINK("#Analysis!A34","2. Date &amp; Time Functions")</f>
        <v>2. Date &amp; Time Functions</v>
      </c>
      <c r="D5" s="10" t="str">
        <f>HYPERLINK("#Analysis!A184","8. Compare Two Lists")</f>
        <v>8. Compare Two Lists</v>
      </c>
    </row>
    <row r="6" spans="1:4">
      <c r="A6" s="10" t="str">
        <f>HYPERLINK("#Analysis!A47","3. Monthly Sales Trend")</f>
        <v>3. Monthly Sales Trend</v>
      </c>
      <c r="D6" s="10" t="str">
        <f>HYPERLINK("#Analysis!A240","9. Timestamp with NOW() and Iterative Calculation")</f>
        <v>9. Timestamp with NOW() and Iterative Calculation</v>
      </c>
    </row>
    <row r="7" spans="1:4">
      <c r="A7" s="10" t="str">
        <f>HYPERLINK("#Analysis!A65","4. Regional Sales")</f>
        <v>4. Regional Sales</v>
      </c>
      <c r="D7" s="92" t="str">
        <f>HYPERLINK("#Analysis!A251","10. What-If Analysis")</f>
        <v>10. What-If Analysis</v>
      </c>
    </row>
    <row r="8" spans="1:4">
      <c r="A8" s="10" t="str">
        <f>HYPERLINK("#Analysis!A74","5. Category, Payment Method &amp; Customer Segment Breakdowns")</f>
        <v>5. Category, Payment Method &amp; Customer Segment Breakdowns</v>
      </c>
      <c r="D8" s="10" t="str">
        <f>HYPERLINK("#Analysis!A275","11. Linear Regression")</f>
        <v>11. Linear Regression</v>
      </c>
    </row>
    <row r="9" spans="1:4">
      <c r="A9" s="10" t="str">
        <f>HYPERLINK("#Analysis!A91","6. Product Analysis")</f>
        <v>6. Product Analysis</v>
      </c>
      <c r="D9" s="10" t="str">
        <f>HYPERLINK("#Analysis!A307","12. FILTER Function")</f>
        <v>12. FILTER Function</v>
      </c>
    </row>
    <row r="19" spans="1:14" ht="20.100000000000001" customHeight="1">
      <c r="A19" s="11" t="s">
        <v>408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30" customHeight="1">
      <c r="A20" s="13" t="s">
        <v>409</v>
      </c>
      <c r="B20" s="13" t="s">
        <v>410</v>
      </c>
      <c r="C20" s="13" t="s">
        <v>411</v>
      </c>
    </row>
    <row r="21" spans="1:14">
      <c r="A21" s="14" t="s">
        <v>412</v>
      </c>
      <c r="B21" s="15">
        <f>SUM(rdAmt)</f>
        <v>229192.47000000032</v>
      </c>
      <c r="C21" s="16"/>
    </row>
    <row r="22" spans="1:14">
      <c r="A22" s="14" t="s">
        <v>413</v>
      </c>
      <c r="B22" s="17">
        <f>COUNTA(rdID)</f>
        <v>250</v>
      </c>
      <c r="C22" s="16"/>
    </row>
    <row r="23" spans="1:14">
      <c r="A23" s="14" t="s">
        <v>414</v>
      </c>
      <c r="B23" s="17">
        <f>SUM(rdQty)</f>
        <v>753</v>
      </c>
      <c r="C23" s="16"/>
    </row>
    <row r="24" spans="1:14">
      <c r="A24" s="14" t="s">
        <v>415</v>
      </c>
      <c r="B24" s="15">
        <f>B21/B22</f>
        <v>916.76988000000131</v>
      </c>
      <c r="C24" s="16"/>
    </row>
    <row r="25" spans="1:14">
      <c r="A25" s="14" t="s">
        <v>416</v>
      </c>
      <c r="B25" s="17">
        <f>COUNTIF(E112:E161,"&gt;0")</f>
        <v>50</v>
      </c>
      <c r="C25" s="16"/>
    </row>
    <row r="26" spans="1:14">
      <c r="A26" s="14" t="s">
        <v>417</v>
      </c>
      <c r="B26" s="18" t="str">
        <f>INDEX(B112:B161,MATCH(1,K112:K161,0))</f>
        <v>Mark Carter</v>
      </c>
      <c r="C26" s="16" t="str">
        <f>TEXT(INDEX(F112:F161,MATCH(1,K112:K161,0)),"[&gt;=10000000]\₹##\,##\,##\,##0.00;[&gt;=100000]\₹##\,##\,##0.00;\₹#,##0.00")&amp;" total spend"</f>
        <v>₹15,659.65 total spend</v>
      </c>
    </row>
    <row r="27" spans="1:14">
      <c r="A27" s="14" t="s">
        <v>418</v>
      </c>
      <c r="B27" s="18" t="str">
        <f>B104</f>
        <v>Bookshelf</v>
      </c>
      <c r="C27" s="16" t="str">
        <f>TEXT(C104,"0")&amp;" units"</f>
        <v>102 units</v>
      </c>
    </row>
    <row r="28" spans="1:14">
      <c r="A28" s="14" t="s">
        <v>419</v>
      </c>
      <c r="B28" s="18" t="str">
        <f>B106</f>
        <v>Bookshelf</v>
      </c>
      <c r="C28" s="16" t="str">
        <f>TEXT(C106,"0")&amp;" transactions"</f>
        <v>35 transactions</v>
      </c>
    </row>
    <row r="29" spans="1:14">
      <c r="A29" s="14" t="s">
        <v>420</v>
      </c>
      <c r="B29" s="18" t="str">
        <f>INDEX(A67:A71,MATCH(1,H67:H71,0))</f>
        <v>East</v>
      </c>
      <c r="C29" s="16" t="str">
        <f>TEXT(INDEX(C67:C71,MATCH(1,H67:H71,0)),"[&gt;=10000000]\₹##\,##\,##\,##0.00;[&gt;=100000]\₹##\,##\,##0.00;\₹#,##0.00")&amp;" revenue"</f>
        <v>₹59,288.39 revenue</v>
      </c>
    </row>
    <row r="30" spans="1:14">
      <c r="A30" s="14" t="s">
        <v>421</v>
      </c>
      <c r="B30" s="18" t="str">
        <f>INDEX(A67:A71,MATCH(5,H67:H71,0))</f>
        <v>South</v>
      </c>
      <c r="C30" s="16" t="str">
        <f>TEXT(INDEX(C67:C71,MATCH(5,H67:H71,0)),"[&gt;=10000000]\₹##\,##\,##\,##0.00;[&gt;=100000]\₹##\,##\,##0.00;\₹#,##0.00")&amp;" revenue"</f>
        <v>₹36,398.75 revenue</v>
      </c>
    </row>
    <row r="31" spans="1:14">
      <c r="A31" s="14" t="s">
        <v>422</v>
      </c>
      <c r="B31" s="18" t="str">
        <f>INDEX(A49:A61,MATCH(MAX(D49:D61),D49:D61,0))</f>
        <v>Jan 2025</v>
      </c>
      <c r="C31" s="16" t="str">
        <f>TEXT(MAX(D49:D61),"[&gt;=10000000]\₹##\,##\,##\,##0.00;[&gt;=100000]\₹##\,##\,##0.00;\₹#,##0.00")&amp;" revenue"</f>
        <v>₹25,799.15 revenue</v>
      </c>
    </row>
    <row r="34" spans="1:14" ht="20.100000000000001" customHeight="1">
      <c r="A34" s="11" t="s">
        <v>423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30" customHeight="1">
      <c r="A35" s="13" t="s">
        <v>409</v>
      </c>
      <c r="B35" s="13" t="s">
        <v>410</v>
      </c>
      <c r="C35" s="13" t="s">
        <v>424</v>
      </c>
    </row>
    <row r="36" spans="1:14">
      <c r="A36" s="19" t="s">
        <v>425</v>
      </c>
      <c r="B36" s="20">
        <f ca="1">TODAY()</f>
        <v>46310</v>
      </c>
      <c r="C36" s="16" t="s">
        <v>426</v>
      </c>
    </row>
    <row r="37" spans="1:14">
      <c r="A37" s="19" t="s">
        <v>427</v>
      </c>
      <c r="B37" s="21">
        <f ca="1">NOW()</f>
        <v>46310.995957638886</v>
      </c>
      <c r="C37" s="16" t="s">
        <v>428</v>
      </c>
    </row>
    <row r="38" spans="1:14">
      <c r="A38" s="19" t="s">
        <v>429</v>
      </c>
      <c r="B38" s="20">
        <f>MIN(rdDate)</f>
        <v>45393</v>
      </c>
      <c r="C38" s="16" t="s">
        <v>430</v>
      </c>
    </row>
    <row r="39" spans="1:14">
      <c r="A39" s="19" t="s">
        <v>431</v>
      </c>
      <c r="B39" s="20">
        <f>MAX(rdDate)</f>
        <v>45758</v>
      </c>
      <c r="C39" s="16" t="s">
        <v>432</v>
      </c>
      <c r="E39" s="87"/>
    </row>
    <row r="40" spans="1:14">
      <c r="A40" s="19" t="s">
        <v>433</v>
      </c>
      <c r="B40" s="18" t="str">
        <f>DATEDIF(B38,B39,"y")&amp;" yr "&amp;DATEDIF(B38,B39,"ym")&amp;" mo "&amp;DATEDIF(B38,B39,"md")&amp;" d"</f>
        <v>1 yr 0 mo 0 d</v>
      </c>
      <c r="C40" s="16" t="s">
        <v>434</v>
      </c>
    </row>
    <row r="41" spans="1:14">
      <c r="A41" s="19" t="s">
        <v>435</v>
      </c>
      <c r="B41" s="22">
        <f>B39-B38</f>
        <v>365</v>
      </c>
      <c r="C41" s="16" t="s">
        <v>436</v>
      </c>
    </row>
    <row r="42" spans="1:14">
      <c r="A42" s="19" t="s">
        <v>437</v>
      </c>
      <c r="B42" s="20">
        <f>EOMONTH(B39,0)</f>
        <v>45777</v>
      </c>
      <c r="C42" s="16" t="s">
        <v>438</v>
      </c>
    </row>
    <row r="43" spans="1:14">
      <c r="A43" s="19" t="s">
        <v>439</v>
      </c>
      <c r="B43" s="20">
        <f ca="1">EOMONTH(TODAY(),0)</f>
        <v>46326</v>
      </c>
      <c r="C43" s="16" t="s">
        <v>438</v>
      </c>
    </row>
    <row r="44" spans="1:14">
      <c r="A44" s="19" t="s">
        <v>440</v>
      </c>
      <c r="B44" s="17">
        <f ca="1">EOMONTH(TODAY(),0)-TODAY()</f>
        <v>16</v>
      </c>
      <c r="C44" s="16" t="s">
        <v>441</v>
      </c>
    </row>
    <row r="45" spans="1:14">
      <c r="A45" s="19" t="s">
        <v>442</v>
      </c>
      <c r="B45" s="17">
        <f ca="1">DATEDIF(B39,TODAY(),"m")</f>
        <v>18</v>
      </c>
      <c r="C45" s="16" t="s">
        <v>443</v>
      </c>
    </row>
    <row r="47" spans="1:14" ht="20.100000000000001" customHeight="1">
      <c r="A47" s="11" t="s">
        <v>444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ht="30" customHeight="1">
      <c r="A48" s="13" t="s">
        <v>445</v>
      </c>
      <c r="B48" s="13" t="s">
        <v>446</v>
      </c>
      <c r="C48" s="13" t="s">
        <v>447</v>
      </c>
      <c r="D48" s="13" t="s">
        <v>448</v>
      </c>
      <c r="E48" s="13" t="s">
        <v>449</v>
      </c>
      <c r="F48" s="13" t="s">
        <v>450</v>
      </c>
      <c r="G48" s="13" t="s">
        <v>451</v>
      </c>
      <c r="H48" s="13" t="s">
        <v>452</v>
      </c>
    </row>
    <row r="49" spans="1:8">
      <c r="A49" s="19" t="str">
        <f>TEXT(B49,"mmm yyyy")</f>
        <v>Apr 2024</v>
      </c>
      <c r="B49" s="23">
        <f>EOMONTH(MIN(rdDate),-1)+1</f>
        <v>45383</v>
      </c>
      <c r="C49" s="23">
        <f>EOMONTH(B49,0)</f>
        <v>45412</v>
      </c>
      <c r="D49" s="24">
        <f>SUMIFS(rdAmt,rdDate,"&gt;="&amp;B49,rdDate,"&lt;="&amp;C49)</f>
        <v>20919.330000000002</v>
      </c>
      <c r="E49" s="25">
        <f>COUNTIFS(rdDate,"&gt;="&amp;B49,rdDate,"&lt;="&amp;C49)</f>
        <v>21</v>
      </c>
      <c r="F49" s="25">
        <f>SUMIFS(rdQty,rdDate,"&gt;="&amp;B49,rdDate,"&lt;="&amp;C49)</f>
        <v>67</v>
      </c>
      <c r="G49" s="26"/>
      <c r="H49" s="24">
        <f>SUM(D$49:D49)</f>
        <v>20919.330000000002</v>
      </c>
    </row>
    <row r="50" spans="1:8">
      <c r="A50" s="19" t="str">
        <f>TEXT(B50,"mmm yyyy")</f>
        <v>May 2024</v>
      </c>
      <c r="B50" s="23">
        <f>EOMONTH(B49,0)+1</f>
        <v>45413</v>
      </c>
      <c r="C50" s="23">
        <f>EOMONTH(B50,0)</f>
        <v>45443</v>
      </c>
      <c r="D50" s="24">
        <f>SUMIFS(rdAmt,rdDate,"&gt;="&amp;B50,rdDate,"&lt;="&amp;C50)</f>
        <v>17039.349999999999</v>
      </c>
      <c r="E50" s="25">
        <f>COUNTIFS(rdDate,"&gt;="&amp;B50,rdDate,"&lt;="&amp;C50)</f>
        <v>19</v>
      </c>
      <c r="F50" s="25">
        <f>SUMIFS(rdQty,rdDate,"&gt;="&amp;B50,rdDate,"&lt;="&amp;C50)</f>
        <v>65</v>
      </c>
      <c r="G50" s="26">
        <f>IF(D49=0,0,D50/D49-1)</f>
        <v>-0.18547343533468819</v>
      </c>
      <c r="H50" s="24">
        <f>SUM(D$49:D50)</f>
        <v>37958.68</v>
      </c>
    </row>
    <row r="51" spans="1:8">
      <c r="A51" s="19" t="str">
        <f>TEXT(B51,"mmm yyyy")</f>
        <v>Jun 2024</v>
      </c>
      <c r="B51" s="23">
        <f>EOMONTH(B50,0)+1</f>
        <v>45444</v>
      </c>
      <c r="C51" s="23">
        <f>EOMONTH(B51,0)</f>
        <v>45473</v>
      </c>
      <c r="D51" s="24">
        <f>SUMIFS(rdAmt,rdDate,"&gt;="&amp;B51,rdDate,"&lt;="&amp;C51)</f>
        <v>19299.45</v>
      </c>
      <c r="E51" s="25">
        <f>COUNTIFS(rdDate,"&gt;="&amp;B51,rdDate,"&lt;="&amp;C51)</f>
        <v>19</v>
      </c>
      <c r="F51" s="25">
        <f>SUMIFS(rdQty,rdDate,"&gt;="&amp;B51,rdDate,"&lt;="&amp;C51)</f>
        <v>55</v>
      </c>
      <c r="G51" s="26">
        <f>IF(D50=0,0,D51/D50-1)</f>
        <v>0.13264003615161379</v>
      </c>
      <c r="H51" s="24">
        <f>SUM(D$49:D51)</f>
        <v>57258.130000000005</v>
      </c>
    </row>
    <row r="52" spans="1:8">
      <c r="A52" s="19" t="str">
        <f>TEXT(B52,"mmm yyyy")</f>
        <v>Jul 2024</v>
      </c>
      <c r="B52" s="23">
        <f>EOMONTH(B51,0)+1</f>
        <v>45474</v>
      </c>
      <c r="C52" s="23">
        <f>EOMONTH(B52,0)</f>
        <v>45504</v>
      </c>
      <c r="D52" s="24">
        <f>SUMIFS(rdAmt,rdDate,"&gt;="&amp;B52,rdDate,"&lt;="&amp;C52)</f>
        <v>18479.399999999994</v>
      </c>
      <c r="E52" s="25">
        <f>COUNTIFS(rdDate,"&gt;="&amp;B52,rdDate,"&lt;="&amp;C52)</f>
        <v>24</v>
      </c>
      <c r="F52" s="25">
        <f>SUMIFS(rdQty,rdDate,"&gt;="&amp;B52,rdDate,"&lt;="&amp;C52)</f>
        <v>60</v>
      </c>
      <c r="G52" s="26">
        <f>IF(D51=0,0,D52/D51-1)</f>
        <v>-4.2490848184793206E-2</v>
      </c>
      <c r="H52" s="24">
        <f>SUM(D$49:D52)</f>
        <v>75737.53</v>
      </c>
    </row>
    <row r="53" spans="1:8">
      <c r="A53" s="19" t="str">
        <f>TEXT(B53,"mmm yyyy")</f>
        <v>Aug 2024</v>
      </c>
      <c r="B53" s="23">
        <f>EOMONTH(B52,0)+1</f>
        <v>45505</v>
      </c>
      <c r="C53" s="23">
        <f>EOMONTH(B53,0)</f>
        <v>45535</v>
      </c>
      <c r="D53" s="24">
        <f>SUMIFS(rdAmt,rdDate,"&gt;="&amp;B53,rdDate,"&lt;="&amp;C53)</f>
        <v>15759.429999999997</v>
      </c>
      <c r="E53" s="25">
        <f>COUNTIFS(rdDate,"&gt;="&amp;B53,rdDate,"&lt;="&amp;C53)</f>
        <v>18</v>
      </c>
      <c r="F53" s="25">
        <f>SUMIFS(rdQty,rdDate,"&gt;="&amp;B53,rdDate,"&lt;="&amp;C53)</f>
        <v>57</v>
      </c>
      <c r="G53" s="26">
        <f>IF(D52=0,0,D53/D52-1)</f>
        <v>-0.14718930268298747</v>
      </c>
      <c r="H53" s="24">
        <f>SUM(D$49:D53)</f>
        <v>91496.959999999992</v>
      </c>
    </row>
    <row r="54" spans="1:8">
      <c r="A54" s="19" t="str">
        <f>TEXT(B54,"mmm yyyy")</f>
        <v>Sep 2024</v>
      </c>
      <c r="B54" s="23">
        <f>EOMONTH(B53,0)+1</f>
        <v>45536</v>
      </c>
      <c r="C54" s="23">
        <f>EOMONTH(B54,0)</f>
        <v>45565</v>
      </c>
      <c r="D54" s="24">
        <f>SUMIFS(rdAmt,rdDate,"&gt;="&amp;B54,rdDate,"&lt;="&amp;C54)</f>
        <v>12989.509999999997</v>
      </c>
      <c r="E54" s="25">
        <f>COUNTIFS(rdDate,"&gt;="&amp;B54,rdDate,"&lt;="&amp;C54)</f>
        <v>19</v>
      </c>
      <c r="F54" s="25">
        <f>SUMIFS(rdQty,rdDate,"&gt;="&amp;B54,rdDate,"&lt;="&amp;C54)</f>
        <v>49</v>
      </c>
      <c r="G54" s="26">
        <f>IF(D53=0,0,D54/D53-1)</f>
        <v>-0.17576270207742284</v>
      </c>
      <c r="H54" s="24">
        <f>SUM(D$49:D54)</f>
        <v>104486.46999999999</v>
      </c>
    </row>
    <row r="55" spans="1:8">
      <c r="A55" s="19" t="str">
        <f>TEXT(B55,"mmm yyyy")</f>
        <v>Oct 2024</v>
      </c>
      <c r="B55" s="23">
        <f>EOMONTH(B54,0)+1</f>
        <v>45566</v>
      </c>
      <c r="C55" s="23">
        <f>EOMONTH(B55,0)</f>
        <v>45596</v>
      </c>
      <c r="D55" s="24">
        <f>SUMIFS(rdAmt,rdDate,"&gt;="&amp;B55,rdDate,"&lt;="&amp;C55)</f>
        <v>20609.52</v>
      </c>
      <c r="E55" s="25">
        <f>COUNTIFS(rdDate,"&gt;="&amp;B55,rdDate,"&lt;="&amp;C55)</f>
        <v>16</v>
      </c>
      <c r="F55" s="25">
        <f>SUMIFS(rdQty,rdDate,"&gt;="&amp;B55,rdDate,"&lt;="&amp;C55)</f>
        <v>48</v>
      </c>
      <c r="G55" s="26">
        <f>IF(D54=0,0,D55/D54-1)</f>
        <v>0.58662797903847075</v>
      </c>
      <c r="H55" s="24">
        <f>SUM(D$49:D55)</f>
        <v>125095.98999999999</v>
      </c>
    </row>
    <row r="56" spans="1:8">
      <c r="A56" s="19" t="str">
        <f>TEXT(B56,"mmm yyyy")</f>
        <v>Nov 2024</v>
      </c>
      <c r="B56" s="23">
        <f>EOMONTH(B55,0)+1</f>
        <v>45597</v>
      </c>
      <c r="C56" s="23">
        <f>EOMONTH(B56,0)</f>
        <v>45626</v>
      </c>
      <c r="D56" s="24">
        <f>SUMIFS(rdAmt,rdDate,"&gt;="&amp;B56,rdDate,"&lt;="&amp;C56)</f>
        <v>12309.439999999999</v>
      </c>
      <c r="E56" s="25">
        <f>COUNTIFS(rdDate,"&gt;="&amp;B56,rdDate,"&lt;="&amp;C56)</f>
        <v>17</v>
      </c>
      <c r="F56" s="25">
        <f>SUMIFS(rdQty,rdDate,"&gt;="&amp;B56,rdDate,"&lt;="&amp;C56)</f>
        <v>56</v>
      </c>
      <c r="G56" s="26">
        <f>IF(D55=0,0,D56/D55-1)</f>
        <v>-0.40273038867474842</v>
      </c>
      <c r="H56" s="24">
        <f>SUM(D$49:D56)</f>
        <v>137405.43</v>
      </c>
    </row>
    <row r="57" spans="1:8">
      <c r="A57" s="19" t="str">
        <f>TEXT(B57,"mmm yyyy")</f>
        <v>Dec 2024</v>
      </c>
      <c r="B57" s="23">
        <f>EOMONTH(B56,0)+1</f>
        <v>45627</v>
      </c>
      <c r="C57" s="23">
        <f>EOMONTH(B57,0)</f>
        <v>45657</v>
      </c>
      <c r="D57" s="24">
        <f>SUMIFS(rdAmt,rdDate,"&gt;="&amp;B57,rdDate,"&lt;="&amp;C57)</f>
        <v>23039.3</v>
      </c>
      <c r="E57" s="25">
        <f>COUNTIFS(rdDate,"&gt;="&amp;B57,rdDate,"&lt;="&amp;C57)</f>
        <v>25</v>
      </c>
      <c r="F57" s="25">
        <f>SUMIFS(rdQty,rdDate,"&gt;="&amp;B57,rdDate,"&lt;="&amp;C57)</f>
        <v>70</v>
      </c>
      <c r="G57" s="26">
        <f>IF(D56=0,0,D57/D56-1)</f>
        <v>0.87167734681675224</v>
      </c>
      <c r="H57" s="24">
        <f>SUM(D$49:D57)</f>
        <v>160444.72999999998</v>
      </c>
    </row>
    <row r="58" spans="1:8">
      <c r="A58" s="19" t="str">
        <f>TEXT(B58,"mmm yyyy")</f>
        <v>Jan 2025</v>
      </c>
      <c r="B58" s="23">
        <f>EOMONTH(B57,0)+1</f>
        <v>45658</v>
      </c>
      <c r="C58" s="23">
        <f>EOMONTH(B58,0)</f>
        <v>45688</v>
      </c>
      <c r="D58" s="24">
        <f>SUMIFS(rdAmt,rdDate,"&gt;="&amp;B58,rdDate,"&lt;="&amp;C58)</f>
        <v>25799.15</v>
      </c>
      <c r="E58" s="25">
        <f>COUNTIFS(rdDate,"&gt;="&amp;B58,rdDate,"&lt;="&amp;C58)</f>
        <v>26</v>
      </c>
      <c r="F58" s="25">
        <f>SUMIFS(rdQty,rdDate,"&gt;="&amp;B58,rdDate,"&lt;="&amp;C58)</f>
        <v>85</v>
      </c>
      <c r="G58" s="26">
        <f>IF(D57=0,0,D58/D57-1)</f>
        <v>0.11978879566653511</v>
      </c>
      <c r="H58" s="24">
        <f>SUM(D$49:D58)</f>
        <v>186243.87999999998</v>
      </c>
    </row>
    <row r="59" spans="1:8">
      <c r="A59" s="19" t="str">
        <f>TEXT(B59,"mmm yyyy")</f>
        <v>Feb 2025</v>
      </c>
      <c r="B59" s="23">
        <f>EOMONTH(B58,0)+1</f>
        <v>45689</v>
      </c>
      <c r="C59" s="23">
        <f>EOMONTH(B59,0)</f>
        <v>45716</v>
      </c>
      <c r="D59" s="24">
        <f>SUMIFS(rdAmt,rdDate,"&gt;="&amp;B59,rdDate,"&lt;="&amp;C59)</f>
        <v>16069.379999999997</v>
      </c>
      <c r="E59" s="25">
        <f>COUNTIFS(rdDate,"&gt;="&amp;B59,rdDate,"&lt;="&amp;C59)</f>
        <v>20</v>
      </c>
      <c r="F59" s="25">
        <f>SUMIFS(rdQty,rdDate,"&gt;="&amp;B59,rdDate,"&lt;="&amp;C59)</f>
        <v>62</v>
      </c>
      <c r="G59" s="26">
        <f>IF(D58=0,0,D59/D58-1)</f>
        <v>-0.37713529321702477</v>
      </c>
      <c r="H59" s="24">
        <f>SUM(D$49:D59)</f>
        <v>202313.25999999998</v>
      </c>
    </row>
    <row r="60" spans="1:8">
      <c r="A60" s="19" t="str">
        <f>TEXT(B60,"mmm yyyy")</f>
        <v>Mar 2025</v>
      </c>
      <c r="B60" s="23">
        <f>EOMONTH(B59,0)+1</f>
        <v>45717</v>
      </c>
      <c r="C60" s="23">
        <f>EOMONTH(B60,0)</f>
        <v>45747</v>
      </c>
      <c r="D60" s="24">
        <f>SUMIFS(rdAmt,rdDate,"&gt;="&amp;B60,rdDate,"&lt;="&amp;C60)</f>
        <v>19899.379999999997</v>
      </c>
      <c r="E60" s="25">
        <f>COUNTIFS(rdDate,"&gt;="&amp;B60,rdDate,"&lt;="&amp;C60)</f>
        <v>19</v>
      </c>
      <c r="F60" s="25">
        <f>SUMIFS(rdQty,rdDate,"&gt;="&amp;B60,rdDate,"&lt;="&amp;C60)</f>
        <v>62</v>
      </c>
      <c r="G60" s="26">
        <f>IF(D59=0,0,D60/D59-1)</f>
        <v>0.23834149170658736</v>
      </c>
      <c r="H60" s="24">
        <f>SUM(D$49:D60)</f>
        <v>222212.63999999998</v>
      </c>
    </row>
    <row r="61" spans="1:8">
      <c r="A61" s="19" t="str">
        <f>TEXT(B61,"mmm yyyy")</f>
        <v>Apr 2025</v>
      </c>
      <c r="B61" s="23">
        <f>EOMONTH(B60,0)+1</f>
        <v>45748</v>
      </c>
      <c r="C61" s="23">
        <f>EOMONTH(B61,0)</f>
        <v>45777</v>
      </c>
      <c r="D61" s="24">
        <f>SUMIFS(rdAmt,rdDate,"&gt;="&amp;B61,rdDate,"&lt;="&amp;C61)</f>
        <v>6979.829999999999</v>
      </c>
      <c r="E61" s="25">
        <f>COUNTIFS(rdDate,"&gt;="&amp;B61,rdDate,"&lt;="&amp;C61)</f>
        <v>7</v>
      </c>
      <c r="F61" s="25">
        <f>SUMIFS(rdQty,rdDate,"&gt;="&amp;B61,rdDate,"&lt;="&amp;C61)</f>
        <v>17</v>
      </c>
      <c r="G61" s="26">
        <f>IF(D60=0,0,D61/D60-1)</f>
        <v>-0.64924384578816019</v>
      </c>
      <c r="H61" s="24">
        <f>SUM(D$49:D61)</f>
        <v>229192.46999999997</v>
      </c>
    </row>
    <row r="62" spans="1:8">
      <c r="A62" s="14" t="s">
        <v>453</v>
      </c>
      <c r="D62" s="27">
        <f>SUM(D49:D61)</f>
        <v>229192.46999999997</v>
      </c>
      <c r="E62" s="28">
        <f>SUM(E49:E61)</f>
        <v>250</v>
      </c>
      <c r="F62" s="28">
        <f>SUM(F49:F61)</f>
        <v>753</v>
      </c>
    </row>
    <row r="63" spans="1:8">
      <c r="A63" s="8" t="str">
        <f>"Note: the last month is partial – data ends "&amp;TEXT(B39,"dd-mmm-yyyy")&amp;"."</f>
        <v>Note: the last month is partial – data ends 11-Apr-2025.</v>
      </c>
    </row>
    <row r="65" spans="1:14" ht="20.100000000000001" customHeight="1">
      <c r="A65" s="11" t="s">
        <v>454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 ht="30" customHeight="1">
      <c r="A66" s="13" t="s">
        <v>4</v>
      </c>
      <c r="B66" s="13" t="s">
        <v>455</v>
      </c>
      <c r="C66" s="13" t="s">
        <v>448</v>
      </c>
      <c r="D66" s="13" t="s">
        <v>449</v>
      </c>
      <c r="E66" s="13" t="s">
        <v>450</v>
      </c>
      <c r="F66" s="13" t="s">
        <v>456</v>
      </c>
      <c r="G66" s="13" t="s">
        <v>457</v>
      </c>
      <c r="H66" s="13" t="s">
        <v>458</v>
      </c>
    </row>
    <row r="67" spans="1:14">
      <c r="A67" s="19" t="s">
        <v>9</v>
      </c>
      <c r="B67" s="29" t="str">
        <f>UPPER(LEFT(A67,3))</f>
        <v>CEN</v>
      </c>
      <c r="C67" s="24">
        <f>SUMIFS(rdAmt,rdReg,A67)</f>
        <v>41288.340000000018</v>
      </c>
      <c r="D67" s="25">
        <f>COUNTIFS(rdReg,A67)</f>
        <v>54</v>
      </c>
      <c r="E67" s="25">
        <f>SUMIFS(rdQty,rdReg,A67)</f>
        <v>166</v>
      </c>
      <c r="F67" s="24">
        <f>IF(D67=0,0,C67/D67)</f>
        <v>764.59888888888918</v>
      </c>
      <c r="G67" s="30">
        <f>C67/SUM(C$67:C$71)</f>
        <v>0.18014701791904422</v>
      </c>
      <c r="H67" s="31">
        <f>RANK(C67,C$67:C$71)+COUNTIF(C$67:C67,C67)-1</f>
        <v>4</v>
      </c>
    </row>
    <row r="68" spans="1:14">
      <c r="A68" s="19" t="s">
        <v>10</v>
      </c>
      <c r="B68" s="29" t="str">
        <f>UPPER(LEFT(A68,3))</f>
        <v>EAS</v>
      </c>
      <c r="C68" s="24">
        <f>SUMIFS(rdAmt,rdReg,A68)</f>
        <v>59288.389999999992</v>
      </c>
      <c r="D68" s="25">
        <f>COUNTIFS(rdReg,A68)</f>
        <v>48</v>
      </c>
      <c r="E68" s="25">
        <f>SUMIFS(rdQty,rdReg,A68)</f>
        <v>161</v>
      </c>
      <c r="F68" s="24">
        <f>IF(D68=0,0,C68/D68)</f>
        <v>1235.1747916666666</v>
      </c>
      <c r="G68" s="30">
        <f>C68/SUM(C$67:C$71)</f>
        <v>0.25868384768487368</v>
      </c>
      <c r="H68" s="31">
        <f>RANK(C68,C$67:C$71)+COUNTIF(C$67:C68,C68)-1</f>
        <v>1</v>
      </c>
    </row>
    <row r="69" spans="1:14">
      <c r="A69" s="19" t="s">
        <v>11</v>
      </c>
      <c r="B69" s="29" t="str">
        <f>UPPER(LEFT(A69,3))</f>
        <v>NOR</v>
      </c>
      <c r="C69" s="24">
        <f>SUMIFS(rdAmt,rdReg,A69)</f>
        <v>50808.310000000012</v>
      </c>
      <c r="D69" s="25">
        <f>COUNTIFS(rdReg,A69)</f>
        <v>59</v>
      </c>
      <c r="E69" s="25">
        <f>SUMIFS(rdQty,rdReg,A69)</f>
        <v>169</v>
      </c>
      <c r="F69" s="24">
        <f>IF(D69=0,0,C69/D69)</f>
        <v>861.15779661016973</v>
      </c>
      <c r="G69" s="30">
        <f>C69/SUM(C$67:C$71)</f>
        <v>0.221684028275449</v>
      </c>
      <c r="H69" s="31">
        <f>RANK(C69,C$67:C$71)+COUNTIF(C$67:C69,C69)-1</f>
        <v>2</v>
      </c>
    </row>
    <row r="70" spans="1:14">
      <c r="A70" s="19" t="s">
        <v>12</v>
      </c>
      <c r="B70" s="29" t="str">
        <f>UPPER(LEFT(A70,3))</f>
        <v>SOU</v>
      </c>
      <c r="C70" s="24">
        <f>SUMIFS(rdAmt,rdReg,A70)</f>
        <v>36398.750000000007</v>
      </c>
      <c r="D70" s="25">
        <f>COUNTIFS(rdReg,A70)</f>
        <v>42</v>
      </c>
      <c r="E70" s="25">
        <f>SUMIFS(rdQty,rdReg,A70)</f>
        <v>125</v>
      </c>
      <c r="F70" s="24">
        <f>IF(D70=0,0,C70/D70)</f>
        <v>866.63690476190493</v>
      </c>
      <c r="G70" s="30">
        <f>C70/SUM(C$67:C$71)</f>
        <v>0.1588130273215346</v>
      </c>
      <c r="H70" s="31">
        <f>RANK(C70,C$67:C$71)+COUNTIF(C$67:C70,C70)-1</f>
        <v>5</v>
      </c>
    </row>
    <row r="71" spans="1:14">
      <c r="A71" s="19" t="s">
        <v>13</v>
      </c>
      <c r="B71" s="29" t="str">
        <f>UPPER(LEFT(A71,3))</f>
        <v>WES</v>
      </c>
      <c r="C71" s="24">
        <f>SUMIFS(rdAmt,rdReg,A71)</f>
        <v>41408.680000000015</v>
      </c>
      <c r="D71" s="25">
        <f>COUNTIFS(rdReg,A71)</f>
        <v>47</v>
      </c>
      <c r="E71" s="25">
        <f>SUMIFS(rdQty,rdReg,A71)</f>
        <v>132</v>
      </c>
      <c r="F71" s="24">
        <f>IF(D71=0,0,C71/D71)</f>
        <v>881.03574468085139</v>
      </c>
      <c r="G71" s="30">
        <f>C71/SUM(C$67:C$71)</f>
        <v>0.18067207879909844</v>
      </c>
      <c r="H71" s="31">
        <f>RANK(C71,C$67:C$71)+COUNTIF(C$67:C71,C71)-1</f>
        <v>3</v>
      </c>
    </row>
    <row r="72" spans="1:14">
      <c r="A72" s="14" t="s">
        <v>453</v>
      </c>
      <c r="C72" s="27">
        <f>SUM(C67:C71)</f>
        <v>229192.47000000006</v>
      </c>
      <c r="D72" s="28">
        <f>SUM(D67:D71)</f>
        <v>250</v>
      </c>
      <c r="E72" s="28">
        <f>SUM(E67:E71)</f>
        <v>753</v>
      </c>
      <c r="G72" s="32">
        <f>SUM(G67:G71)</f>
        <v>0.99999999999999989</v>
      </c>
    </row>
    <row r="74" spans="1:14" ht="20.100000000000001" customHeight="1">
      <c r="A74" s="11" t="s">
        <v>459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 ht="30" customHeight="1">
      <c r="A75" s="13" t="s">
        <v>3</v>
      </c>
      <c r="B75" s="13" t="s">
        <v>448</v>
      </c>
      <c r="C75" s="13" t="s">
        <v>449</v>
      </c>
      <c r="D75" s="13" t="s">
        <v>450</v>
      </c>
      <c r="E75" s="13" t="s">
        <v>457</v>
      </c>
    </row>
    <row r="76" spans="1:14">
      <c r="A76" s="19" t="s">
        <v>6</v>
      </c>
      <c r="B76" s="24">
        <f>SUMIFS(rdAmt,rdCat,A76)</f>
        <v>171756.05000000013</v>
      </c>
      <c r="C76" s="25">
        <f>COUNTIFS(rdCat,A76)</f>
        <v>131</v>
      </c>
      <c r="D76" s="25">
        <f>SUMIFS(rdQty,rdCat,A76)</f>
        <v>395</v>
      </c>
      <c r="E76" s="30">
        <f>B76/SUM(B$76:B$78)</f>
        <v>0.74939656612627814</v>
      </c>
    </row>
    <row r="77" spans="1:14">
      <c r="A77" s="19" t="s">
        <v>7</v>
      </c>
      <c r="B77" s="24">
        <f>SUMIFS(rdAmt,rdCat,A77)</f>
        <v>49097.680000000015</v>
      </c>
      <c r="C77" s="25">
        <f>COUNTIFS(rdCat,A77)</f>
        <v>76</v>
      </c>
      <c r="D77" s="25">
        <f>SUMIFS(rdQty,rdCat,A77)</f>
        <v>232</v>
      </c>
      <c r="E77" s="30">
        <f>B77/SUM(B$76:B$78)</f>
        <v>0.214220301391228</v>
      </c>
    </row>
    <row r="78" spans="1:14">
      <c r="A78" s="19" t="s">
        <v>5</v>
      </c>
      <c r="B78" s="24">
        <f>SUMIFS(rdAmt,rdCat,A78)</f>
        <v>8338.7399999999961</v>
      </c>
      <c r="C78" s="25">
        <f>COUNTIFS(rdCat,A78)</f>
        <v>43</v>
      </c>
      <c r="D78" s="25">
        <f>SUMIFS(rdQty,rdCat,A78)</f>
        <v>126</v>
      </c>
      <c r="E78" s="30">
        <f>B78/SUM(B$76:B$78)</f>
        <v>3.6383132482493821E-2</v>
      </c>
    </row>
    <row r="80" spans="1:14" ht="30" customHeight="1">
      <c r="A80" s="13" t="s">
        <v>460</v>
      </c>
      <c r="B80" s="13" t="s">
        <v>448</v>
      </c>
      <c r="C80" s="13" t="s">
        <v>449</v>
      </c>
      <c r="D80" s="13" t="s">
        <v>450</v>
      </c>
      <c r="E80" s="13" t="s">
        <v>457</v>
      </c>
    </row>
    <row r="81" spans="1:14">
      <c r="A81" s="19" t="s">
        <v>31</v>
      </c>
      <c r="B81" s="24">
        <f>SUMIFS(rdAmt,rdPay,A81)</f>
        <v>57427.790000000023</v>
      </c>
      <c r="C81" s="25">
        <f>COUNTIFS(rdPay,A81)</f>
        <v>76</v>
      </c>
      <c r="D81" s="25">
        <f>SUMIFS(rdQty,rdPay,A81)</f>
        <v>221</v>
      </c>
      <c r="E81" s="30">
        <f>B81/SUM(B$81:B$84)</f>
        <v>0.25056577993160078</v>
      </c>
    </row>
    <row r="82" spans="1:14">
      <c r="A82" s="19" t="s">
        <v>36</v>
      </c>
      <c r="B82" s="24">
        <f>SUMIFS(rdAmt,rdPay,A82)</f>
        <v>61447.960000000014</v>
      </c>
      <c r="C82" s="25">
        <f>COUNTIFS(rdPay,A82)</f>
        <v>68</v>
      </c>
      <c r="D82" s="25">
        <f>SUMIFS(rdQty,rdPay,A82)</f>
        <v>204</v>
      </c>
      <c r="E82" s="30">
        <f>B82/SUM(B$81:B$84)</f>
        <v>0.26810636492551437</v>
      </c>
    </row>
    <row r="83" spans="1:14">
      <c r="A83" s="19" t="s">
        <v>62</v>
      </c>
      <c r="B83" s="24">
        <f>SUMIFS(rdAmt,rdPay,A83)</f>
        <v>52118.310000000005</v>
      </c>
      <c r="C83" s="25">
        <f>COUNTIFS(rdPay,A83)</f>
        <v>54</v>
      </c>
      <c r="D83" s="25">
        <f>SUMIFS(rdQty,rdPay,A83)</f>
        <v>169</v>
      </c>
      <c r="E83" s="30">
        <f>B83/SUM(B$81:B$84)</f>
        <v>0.22739974834251753</v>
      </c>
    </row>
    <row r="84" spans="1:14">
      <c r="A84" s="19" t="s">
        <v>43</v>
      </c>
      <c r="B84" s="24">
        <f>SUMIFS(rdAmt,rdPay,A84)</f>
        <v>58198.409999999996</v>
      </c>
      <c r="C84" s="25">
        <f>COUNTIFS(rdPay,A84)</f>
        <v>52</v>
      </c>
      <c r="D84" s="25">
        <f>SUMIFS(rdQty,rdPay,A84)</f>
        <v>159</v>
      </c>
      <c r="E84" s="30">
        <f>B84/SUM(B$81:B$84)</f>
        <v>0.25392810680036737</v>
      </c>
    </row>
    <row r="86" spans="1:14" ht="30" customHeight="1">
      <c r="A86" s="13" t="s">
        <v>461</v>
      </c>
      <c r="B86" s="13" t="s">
        <v>448</v>
      </c>
      <c r="C86" s="13" t="s">
        <v>449</v>
      </c>
      <c r="D86" s="13" t="s">
        <v>450</v>
      </c>
      <c r="E86" s="13" t="s">
        <v>457</v>
      </c>
    </row>
    <row r="87" spans="1:14">
      <c r="A87" s="19" t="s">
        <v>32</v>
      </c>
      <c r="B87" s="24">
        <f>SUMIFS(rdAmt,rdSeg,A87)</f>
        <v>62177.810000000019</v>
      </c>
      <c r="C87" s="25">
        <f>COUNTIFS(rdSeg,A87)</f>
        <v>74</v>
      </c>
      <c r="D87" s="25">
        <f>SUMIFS(rdQty,rdSeg,A87)</f>
        <v>219</v>
      </c>
      <c r="E87" s="30">
        <f>B87/SUM(B$87:B$89)</f>
        <v>0.27129080636898756</v>
      </c>
    </row>
    <row r="88" spans="1:14">
      <c r="A88" s="19" t="s">
        <v>44</v>
      </c>
      <c r="B88" s="24">
        <f>SUMIFS(rdAmt,rdSeg,A88)</f>
        <v>82357.540000000037</v>
      </c>
      <c r="C88" s="25">
        <f>COUNTIFS(rdSeg,A88)</f>
        <v>81</v>
      </c>
      <c r="D88" s="25">
        <f>SUMIFS(rdQty,rdSeg,A88)</f>
        <v>246</v>
      </c>
      <c r="E88" s="30">
        <f>B88/SUM(B$87:B$89)</f>
        <v>0.35933789622320489</v>
      </c>
    </row>
    <row r="89" spans="1:14">
      <c r="A89" s="19" t="s">
        <v>37</v>
      </c>
      <c r="B89" s="24">
        <f>SUMIFS(rdAmt,rdSeg,A89)</f>
        <v>84657.12000000001</v>
      </c>
      <c r="C89" s="25">
        <f>COUNTIFS(rdSeg,A89)</f>
        <v>95</v>
      </c>
      <c r="D89" s="25">
        <f>SUMIFS(rdQty,rdSeg,A89)</f>
        <v>288</v>
      </c>
      <c r="E89" s="30">
        <f>B89/SUM(B$87:B$89)</f>
        <v>0.36937129740780739</v>
      </c>
    </row>
    <row r="91" spans="1:14" ht="20.100000000000001" customHeight="1">
      <c r="A91" s="11" t="s">
        <v>462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 ht="30" customHeight="1">
      <c r="A92" s="13" t="s">
        <v>463</v>
      </c>
      <c r="B92" s="13" t="s">
        <v>464</v>
      </c>
      <c r="C92" s="13" t="s">
        <v>3</v>
      </c>
      <c r="D92" s="13" t="s">
        <v>465</v>
      </c>
      <c r="E92" s="13" t="s">
        <v>450</v>
      </c>
      <c r="F92" s="13" t="s">
        <v>448</v>
      </c>
      <c r="G92" s="13" t="s">
        <v>449</v>
      </c>
      <c r="H92" s="13" t="s">
        <v>466</v>
      </c>
      <c r="I92" s="13" t="s">
        <v>467</v>
      </c>
      <c r="J92" s="13" t="s">
        <v>457</v>
      </c>
    </row>
    <row r="93" spans="1:14">
      <c r="A93" s="19" t="str">
        <f>"P"&amp;TEXT(ROWS(A$93:A93),"000")</f>
        <v>P001</v>
      </c>
      <c r="B93" s="19" t="str">
        <f>INDEX(rdProd,MATCH(A93,rdProdID,0))</f>
        <v>Laptop</v>
      </c>
      <c r="C93" s="19" t="str">
        <f>INDEX(rdCat,MATCH(A93,rdProdID,0))</f>
        <v>Electronics</v>
      </c>
      <c r="D93" s="29" t="str">
        <f>IF(ISNUMBER(FIND(" ",B93)),UPPER(LEFT(B93,1)&amp;MID(B93,FIND(" ",B93)+1,1)),UPPER(LEFT(B93,3)))</f>
        <v>LAP</v>
      </c>
      <c r="E93" s="25">
        <f>SUMIFS(rdQty,rdProdID,A93)</f>
        <v>75</v>
      </c>
      <c r="F93" s="24">
        <f>SUMIFS(rdAmt,rdProdID,A93)</f>
        <v>67499.25</v>
      </c>
      <c r="G93" s="25">
        <f>COUNTIFS(rdProdID,A93)</f>
        <v>24</v>
      </c>
      <c r="H93" s="31">
        <f>RANK(E93,E$93:E$102)+COUNTIF(E$93:E93,E93)-1</f>
        <v>7</v>
      </c>
      <c r="I93" s="31">
        <f>RANK(F93,F$93:F$102)+COUNTIF(F$93:F93,F93)-1</f>
        <v>1</v>
      </c>
      <c r="J93" s="30">
        <f>F93/SUM(F$93:F$102)</f>
        <v>0.29450902117333966</v>
      </c>
    </row>
    <row r="94" spans="1:14">
      <c r="A94" s="19" t="str">
        <f>"P"&amp;TEXT(ROWS(A$93:A94),"000")</f>
        <v>P002</v>
      </c>
      <c r="B94" s="19" t="str">
        <f>INDEX(rdProd,MATCH(A94,rdProdID,0))</f>
        <v>Smartphone</v>
      </c>
      <c r="C94" s="19" t="str">
        <f>INDEX(rdCat,MATCH(A94,rdProdID,0))</f>
        <v>Electronics</v>
      </c>
      <c r="D94" s="29" t="str">
        <f>IF(ISNUMBER(FIND(" ",B94)),UPPER(LEFT(B94,1)&amp;MID(B94,FIND(" ",B94)+1,1)),UPPER(LEFT(B94,3)))</f>
        <v>SMA</v>
      </c>
      <c r="E94" s="25">
        <f>SUMIFS(rdQty,rdProdID,A94)</f>
        <v>96</v>
      </c>
      <c r="F94" s="24">
        <f>SUMIFS(rdAmt,rdProdID,A94)</f>
        <v>67199.039999999994</v>
      </c>
      <c r="G94" s="25">
        <f>COUNTIFS(rdProdID,A94)</f>
        <v>31</v>
      </c>
      <c r="H94" s="31">
        <f>RANK(E94,E$93:E$102)+COUNTIF(E$93:E94,E94)-1</f>
        <v>2</v>
      </c>
      <c r="I94" s="31">
        <f>RANK(F94,F$93:F$102)+COUNTIF(F$93:F94,F94)-1</f>
        <v>2</v>
      </c>
      <c r="J94" s="30">
        <f>F94/SUM(F$93:F$102)</f>
        <v>0.29319916138606128</v>
      </c>
    </row>
    <row r="95" spans="1:14">
      <c r="A95" s="19" t="str">
        <f>"P"&amp;TEXT(ROWS(A$93:A95),"000")</f>
        <v>P003</v>
      </c>
      <c r="B95" s="19" t="str">
        <f>INDEX(rdProd,MATCH(A95,rdProdID,0))</f>
        <v>Headphones</v>
      </c>
      <c r="C95" s="19" t="str">
        <f>INDEX(rdCat,MATCH(A95,rdProdID,0))</f>
        <v>Electronics</v>
      </c>
      <c r="D95" s="29" t="str">
        <f>IF(ISNUMBER(FIND(" ",B95)),UPPER(LEFT(B95,1)&amp;MID(B95,FIND(" ",B95)+1,1)),UPPER(LEFT(B95,3)))</f>
        <v>HEA</v>
      </c>
      <c r="E95" s="25">
        <f>SUMIFS(rdQty,rdProdID,A95)</f>
        <v>47</v>
      </c>
      <c r="F95" s="24">
        <f>SUMIFS(rdAmt,rdProdID,A95)</f>
        <v>7049.5299999999988</v>
      </c>
      <c r="G95" s="25">
        <f>COUNTIFS(rdProdID,A95)</f>
        <v>16</v>
      </c>
      <c r="H95" s="31">
        <f>RANK(E95,E$93:E$102)+COUNTIF(E$93:E95,E95)-1</f>
        <v>9</v>
      </c>
      <c r="I95" s="31">
        <f>RANK(F95,F$93:F$102)+COUNTIF(F$93:F95,F95)-1</f>
        <v>8</v>
      </c>
      <c r="J95" s="30">
        <f>F95/SUM(F$93:F$102)</f>
        <v>3.0758122201833247E-2</v>
      </c>
    </row>
    <row r="96" spans="1:14">
      <c r="A96" s="19" t="str">
        <f>"P"&amp;TEXT(ROWS(A$93:A96),"000")</f>
        <v>P004</v>
      </c>
      <c r="B96" s="19" t="str">
        <f>INDEX(rdProd,MATCH(A96,rdProdID,0))</f>
        <v>Coffee Maker</v>
      </c>
      <c r="C96" s="19" t="str">
        <f>INDEX(rdCat,MATCH(A96,rdProdID,0))</f>
        <v>Appliances</v>
      </c>
      <c r="D96" s="29" t="str">
        <f>IF(ISNUMBER(FIND(" ",B96)),UPPER(LEFT(B96,1)&amp;MID(B96,FIND(" ",B96)+1,1)),UPPER(LEFT(B96,3)))</f>
        <v>CM</v>
      </c>
      <c r="E96" s="25">
        <f>SUMIFS(rdQty,rdProdID,A96)</f>
        <v>39</v>
      </c>
      <c r="F96" s="24">
        <f>SUMIFS(rdAmt,rdProdID,A96)</f>
        <v>3119.6099999999992</v>
      </c>
      <c r="G96" s="25">
        <f>COUNTIFS(rdProdID,A96)</f>
        <v>14</v>
      </c>
      <c r="H96" s="31">
        <f>RANK(E96,E$93:E$102)+COUNTIF(E$93:E96,E96)-1</f>
        <v>10</v>
      </c>
      <c r="I96" s="31">
        <f>RANK(F96,F$93:F$102)+COUNTIF(F$93:F96,F96)-1</f>
        <v>10</v>
      </c>
      <c r="J96" s="30">
        <f>F96/SUM(F$93:F$102)</f>
        <v>1.3611311052234832E-2</v>
      </c>
    </row>
    <row r="97" spans="1:14">
      <c r="A97" s="19" t="str">
        <f>"P"&amp;TEXT(ROWS(A$93:A97),"000")</f>
        <v>P005</v>
      </c>
      <c r="B97" s="19" t="str">
        <f>INDEX(rdProd,MATCH(A97,rdProdID,0))</f>
        <v>Blender</v>
      </c>
      <c r="C97" s="19" t="str">
        <f>INDEX(rdCat,MATCH(A97,rdProdID,0))</f>
        <v>Appliances</v>
      </c>
      <c r="D97" s="29" t="str">
        <f>IF(ISNUMBER(FIND(" ",B97)),UPPER(LEFT(B97,1)&amp;MID(B97,FIND(" ",B97)+1,1)),UPPER(LEFT(B97,3)))</f>
        <v>BLE</v>
      </c>
      <c r="E97" s="25">
        <f>SUMIFS(rdQty,rdProdID,A97)</f>
        <v>87</v>
      </c>
      <c r="F97" s="24">
        <f>SUMIFS(rdAmt,rdProdID,A97)</f>
        <v>5219.1299999999974</v>
      </c>
      <c r="G97" s="25">
        <f>COUNTIFS(rdProdID,A97)</f>
        <v>29</v>
      </c>
      <c r="H97" s="31">
        <f>RANK(E97,E$93:E$102)+COUNTIF(E$93:E97,E97)-1</f>
        <v>5</v>
      </c>
      <c r="I97" s="31">
        <f>RANK(F97,F$93:F$102)+COUNTIF(F$93:F97,F97)-1</f>
        <v>9</v>
      </c>
      <c r="J97" s="30">
        <f>F97/SUM(F$93:F$102)</f>
        <v>2.2771821430259024E-2</v>
      </c>
    </row>
    <row r="98" spans="1:14">
      <c r="A98" s="19" t="str">
        <f>"P"&amp;TEXT(ROWS(A$93:A98),"000")</f>
        <v>P006</v>
      </c>
      <c r="B98" s="19" t="str">
        <f>INDEX(rdProd,MATCH(A98,rdProdID,0))</f>
        <v>Office Chair</v>
      </c>
      <c r="C98" s="19" t="str">
        <f>INDEX(rdCat,MATCH(A98,rdProdID,0))</f>
        <v>Furniture</v>
      </c>
      <c r="D98" s="29" t="str">
        <f>IF(ISNUMBER(FIND(" ",B98)),UPPER(LEFT(B98,1)&amp;MID(B98,FIND(" ",B98)+1,1)),UPPER(LEFT(B98,3)))</f>
        <v>OC</v>
      </c>
      <c r="E98" s="25">
        <f>SUMIFS(rdQty,rdProdID,A98)</f>
        <v>52</v>
      </c>
      <c r="F98" s="24">
        <f>SUMIFS(rdAmt,rdProdID,A98)</f>
        <v>10399.479999999998</v>
      </c>
      <c r="G98" s="25">
        <f>COUNTIFS(rdProdID,A98)</f>
        <v>15</v>
      </c>
      <c r="H98" s="31">
        <f>RANK(E98,E$93:E$102)+COUNTIF(E$93:E98,E98)-1</f>
        <v>8</v>
      </c>
      <c r="I98" s="31">
        <f>RANK(F98,F$93:F$102)+COUNTIF(F$93:F98,F98)-1</f>
        <v>6</v>
      </c>
      <c r="J98" s="30">
        <f>F98/SUM(F$93:F$102)</f>
        <v>4.537444009395248E-2</v>
      </c>
    </row>
    <row r="99" spans="1:14">
      <c r="A99" s="19" t="str">
        <f>"P"&amp;TEXT(ROWS(A$93:A99),"000")</f>
        <v>P007</v>
      </c>
      <c r="B99" s="19" t="str">
        <f>INDEX(rdProd,MATCH(A99,rdProdID,0))</f>
        <v>Desk</v>
      </c>
      <c r="C99" s="19" t="str">
        <f>INDEX(rdCat,MATCH(A99,rdProdID,0))</f>
        <v>Furniture</v>
      </c>
      <c r="D99" s="29" t="str">
        <f>IF(ISNUMBER(FIND(" ",B99)),UPPER(LEFT(B99,1)&amp;MID(B99,FIND(" ",B99)+1,1)),UPPER(LEFT(B99,3)))</f>
        <v>DES</v>
      </c>
      <c r="E99" s="25">
        <f>SUMIFS(rdQty,rdProdID,A99)</f>
        <v>78</v>
      </c>
      <c r="F99" s="24">
        <f>SUMIFS(rdAmt,rdProdID,A99)</f>
        <v>23399.22</v>
      </c>
      <c r="G99" s="25">
        <f>COUNTIFS(rdProdID,A99)</f>
        <v>26</v>
      </c>
      <c r="H99" s="31">
        <f>RANK(E99,E$93:E$102)+COUNTIF(E$93:E99,E99)-1</f>
        <v>6</v>
      </c>
      <c r="I99" s="31">
        <f>RANK(F99,F$93:F$102)+COUNTIF(F$93:F99,F99)-1</f>
        <v>3</v>
      </c>
      <c r="J99" s="30">
        <f>F99/SUM(F$93:F$102)</f>
        <v>0.10209419183797795</v>
      </c>
    </row>
    <row r="100" spans="1:14">
      <c r="A100" s="19" t="str">
        <f>"P"&amp;TEXT(ROWS(A$93:A100),"000")</f>
        <v>P008</v>
      </c>
      <c r="B100" s="19" t="str">
        <f>INDEX(rdProd,MATCH(A100,rdProdID,0))</f>
        <v>Bookshelf</v>
      </c>
      <c r="C100" s="19" t="str">
        <f>INDEX(rdCat,MATCH(A100,rdProdID,0))</f>
        <v>Furniture</v>
      </c>
      <c r="D100" s="29" t="str">
        <f>IF(ISNUMBER(FIND(" ",B100)),UPPER(LEFT(B100,1)&amp;MID(B100,FIND(" ",B100)+1,1)),UPPER(LEFT(B100,3)))</f>
        <v>BOO</v>
      </c>
      <c r="E100" s="25">
        <f>SUMIFS(rdQty,rdProdID,A100)</f>
        <v>102</v>
      </c>
      <c r="F100" s="24">
        <f>SUMIFS(rdAmt,rdProdID,A100)</f>
        <v>15298.979999999994</v>
      </c>
      <c r="G100" s="25">
        <f>COUNTIFS(rdProdID,A100)</f>
        <v>35</v>
      </c>
      <c r="H100" s="31">
        <f>RANK(E100,E$93:E$102)+COUNTIF(E$93:E100,E100)-1</f>
        <v>1</v>
      </c>
      <c r="I100" s="31">
        <f>RANK(F100,F$93:F$102)+COUNTIF(F$93:F100,F100)-1</f>
        <v>5</v>
      </c>
      <c r="J100" s="30">
        <f>F100/SUM(F$93:F$102)</f>
        <v>6.6751669459297669E-2</v>
      </c>
    </row>
    <row r="101" spans="1:14">
      <c r="A101" s="19" t="str">
        <f>"P"&amp;TEXT(ROWS(A$93:A101),"000")</f>
        <v>P009</v>
      </c>
      <c r="B101" s="19" t="str">
        <f>INDEX(rdProd,MATCH(A101,rdProdID,0))</f>
        <v>Monitor</v>
      </c>
      <c r="C101" s="19" t="str">
        <f>INDEX(rdCat,MATCH(A101,rdProdID,0))</f>
        <v>Electronics</v>
      </c>
      <c r="D101" s="29" t="str">
        <f>IF(ISNUMBER(FIND(" ",B101)),UPPER(LEFT(B101,1)&amp;MID(B101,FIND(" ",B101)+1,1)),UPPER(LEFT(B101,3)))</f>
        <v>MON</v>
      </c>
      <c r="E101" s="25">
        <f>SUMIFS(rdQty,rdProdID,A101)</f>
        <v>88</v>
      </c>
      <c r="F101" s="24">
        <f>SUMIFS(rdAmt,rdProdID,A101)</f>
        <v>21999.119999999999</v>
      </c>
      <c r="G101" s="25">
        <f>COUNTIFS(rdProdID,A101)</f>
        <v>26</v>
      </c>
      <c r="H101" s="31">
        <f>RANK(E101,E$93:E$102)+COUNTIF(E$93:E101,E101)-1</f>
        <v>4</v>
      </c>
      <c r="I101" s="31">
        <f>RANK(F101,F$93:F$102)+COUNTIF(F$93:F101,F101)-1</f>
        <v>4</v>
      </c>
      <c r="J101" s="30">
        <f>F101/SUM(F$93:F$102)</f>
        <v>9.5985352398357607E-2</v>
      </c>
    </row>
    <row r="102" spans="1:14">
      <c r="A102" s="19" t="str">
        <f>"P"&amp;TEXT(ROWS(A$93:A102),"000")</f>
        <v>P010</v>
      </c>
      <c r="B102" s="19" t="str">
        <f>INDEX(rdProd,MATCH(A102,rdProdID,0))</f>
        <v>Keyboard</v>
      </c>
      <c r="C102" s="19" t="str">
        <f>INDEX(rdCat,MATCH(A102,rdProdID,0))</f>
        <v>Electronics</v>
      </c>
      <c r="D102" s="29" t="str">
        <f>IF(ISNUMBER(FIND(" ",B102)),UPPER(LEFT(B102,1)&amp;MID(B102,FIND(" ",B102)+1,1)),UPPER(LEFT(B102,3)))</f>
        <v>KEY</v>
      </c>
      <c r="E102" s="25">
        <f>SUMIFS(rdQty,rdProdID,A102)</f>
        <v>89</v>
      </c>
      <c r="F102" s="24">
        <f>SUMIFS(rdAmt,rdProdID,A102)</f>
        <v>8009.1099999999969</v>
      </c>
      <c r="G102" s="25">
        <f>COUNTIFS(rdProdID,A102)</f>
        <v>34</v>
      </c>
      <c r="H102" s="31">
        <f>RANK(E102,E$93:E$102)+COUNTIF(E$93:E102,E102)-1</f>
        <v>3</v>
      </c>
      <c r="I102" s="31">
        <f>RANK(F102,F$93:F$102)+COUNTIF(F$93:F102,F102)-1</f>
        <v>7</v>
      </c>
      <c r="J102" s="30">
        <f>F102/SUM(F$93:F$102)</f>
        <v>3.494490896668638E-2</v>
      </c>
    </row>
    <row r="104" spans="1:14">
      <c r="A104" s="14" t="s">
        <v>468</v>
      </c>
      <c r="B104" s="19" t="str">
        <f>INDEX(B93:B102,MATCH(1,H93:H102,0))</f>
        <v>Bookshelf</v>
      </c>
      <c r="C104" s="33">
        <f>INDEX(E93:E102,MATCH(1,H93:H102,0))</f>
        <v>102</v>
      </c>
    </row>
    <row r="105" spans="1:14">
      <c r="A105" s="14" t="s">
        <v>469</v>
      </c>
      <c r="B105" s="19" t="str">
        <f>INDEX(B93:B102,MATCH(1,I93:I102,0))</f>
        <v>Laptop</v>
      </c>
      <c r="C105" s="24">
        <f>INDEX(F93:F102,MATCH(1,I93:I102,0))</f>
        <v>67499.25</v>
      </c>
    </row>
    <row r="106" spans="1:14" ht="27.95" customHeight="1">
      <c r="A106" s="34" t="s">
        <v>470</v>
      </c>
      <c r="B106" s="35" t="str">
        <f t="array" ref="B106">INDEX(rdProd,MODE(MATCH(rdProd,rdProd,0)))</f>
        <v>Bookshelf</v>
      </c>
      <c r="C106" s="36">
        <f>COUNTIF(rdProd,B106)</f>
        <v>35</v>
      </c>
    </row>
    <row r="108" spans="1:14" ht="20.100000000000001" customHeight="1">
      <c r="A108" s="11" t="s">
        <v>471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>
      <c r="A109" s="14" t="s">
        <v>472</v>
      </c>
      <c r="B109" s="37">
        <v>0.8</v>
      </c>
      <c r="C109" s="14" t="s">
        <v>473</v>
      </c>
      <c r="D109" s="24">
        <f>PERCENTILE(F112:F161,$B$109)</f>
        <v>6557.8000000000011</v>
      </c>
    </row>
    <row r="111" spans="1:14" ht="30" customHeight="1">
      <c r="A111" s="13" t="s">
        <v>474</v>
      </c>
      <c r="B111" s="13" t="s">
        <v>475</v>
      </c>
      <c r="C111" s="13" t="s">
        <v>476</v>
      </c>
      <c r="D111" s="13" t="s">
        <v>477</v>
      </c>
      <c r="E111" s="13" t="s">
        <v>449</v>
      </c>
      <c r="F111" s="13" t="s">
        <v>478</v>
      </c>
      <c r="G111" s="13" t="s">
        <v>456</v>
      </c>
      <c r="H111" s="13" t="s">
        <v>479</v>
      </c>
      <c r="I111" s="13" t="s">
        <v>480</v>
      </c>
      <c r="J111" s="13" t="s">
        <v>481</v>
      </c>
      <c r="K111" s="13" t="s">
        <v>482</v>
      </c>
      <c r="L111" s="13" t="s">
        <v>483</v>
      </c>
      <c r="M111" s="13" t="s">
        <v>484</v>
      </c>
    </row>
    <row r="112" spans="1:14">
      <c r="A112" s="19" t="str">
        <f>"CUST"&amp;TEXT(ROWS(A$112:A112),"000")</f>
        <v>CUST001</v>
      </c>
      <c r="B112" s="19" t="str">
        <f>INDEX(rdCust,MATCH(A112,rdCustID,0))</f>
        <v>John Smith</v>
      </c>
      <c r="C112" s="29" t="str">
        <f>LEFT(B112,1)&amp;MID(B112,FIND(" ",B112)+1,1)</f>
        <v>JS</v>
      </c>
      <c r="D112" s="19" t="str">
        <f>LEFT(B112,1)&amp;". "&amp;MID(B112,FIND(" ",B112)+1,LEN(B112))</f>
        <v>J. Smith</v>
      </c>
      <c r="E112" s="31">
        <f>COUNTIF(rdCustID,A112)</f>
        <v>1</v>
      </c>
      <c r="F112" s="24">
        <f>SUMIF(rdCustID,A112,rdAmt)</f>
        <v>599.96</v>
      </c>
      <c r="G112" s="24">
        <f>IF(E112=0,0,F112/E112)</f>
        <v>599.96</v>
      </c>
      <c r="H112" s="31">
        <f>SUMIF(rdCustID,A112,rdQty)</f>
        <v>4</v>
      </c>
      <c r="I112" s="23">
        <f>_xlfn.MINIFS(rdSince,rdCustID,A112)</f>
        <v>44560</v>
      </c>
      <c r="J112" s="29" t="str">
        <f ca="1">DATEDIF(I112,TODAY(),"y")&amp;"y "&amp;DATEDIF(I112,TODAY(),"ym")&amp;"m"</f>
        <v>4y 9m</v>
      </c>
      <c r="K112" s="31">
        <f>RANK(F112,F$112:F$161)+COUNTIF(F$112:F112,F112)-1</f>
        <v>47</v>
      </c>
      <c r="L112" s="29" t="str">
        <f>IF(E112&gt;1,"Repeat","One-time")</f>
        <v>One-time</v>
      </c>
      <c r="M112" s="29" t="str">
        <f>IF(F112&gt;=$D$109,"High-Value","Standard")</f>
        <v>Standard</v>
      </c>
    </row>
    <row r="113" spans="1:13">
      <c r="A113" s="19" t="str">
        <f>"CUST"&amp;TEXT(ROWS(A$112:A113),"000")</f>
        <v>CUST002</v>
      </c>
      <c r="B113" s="93" t="str">
        <f>INDEX(rdCust,MATCH(A113,rdCustID,0))</f>
        <v>Emma Wilson</v>
      </c>
      <c r="C113" s="29" t="str">
        <f>LEFT(B113,1)&amp;MID(B113,FIND(" ",B113)+1,1)</f>
        <v>EW</v>
      </c>
      <c r="D113" s="19" t="str">
        <f>LEFT(B113,1)&amp;". "&amp;MID(B113,FIND(" ",B113)+1,LEN(B113))</f>
        <v>E. Wilson</v>
      </c>
      <c r="E113" s="31">
        <f>COUNTIF(rdCustID,A113)</f>
        <v>5</v>
      </c>
      <c r="F113" s="24">
        <f>SUMIF(rdCustID,A113,rdAmt)</f>
        <v>1229.8800000000001</v>
      </c>
      <c r="G113" s="24">
        <f>IF(E113=0,0,F113/E113)</f>
        <v>245.97600000000003</v>
      </c>
      <c r="H113" s="31">
        <f>SUMIF(rdCustID,A113,rdQty)</f>
        <v>12</v>
      </c>
      <c r="I113" s="23">
        <f>_xlfn.MINIFS(rdSince,rdCustID,A113)</f>
        <v>44748</v>
      </c>
      <c r="J113" s="29" t="str">
        <f ca="1">DATEDIF(I113,TODAY(),"y")&amp;"y "&amp;DATEDIF(I113,TODAY(),"ym")&amp;"m"</f>
        <v>4y 3m</v>
      </c>
      <c r="K113" s="31">
        <f>RANK(F113,F$112:F$161)+COUNTIF(F$112:F113,F113)-1</f>
        <v>44</v>
      </c>
      <c r="L113" s="29" t="str">
        <f>IF(E113&gt;1,"Repeat","One-time")</f>
        <v>Repeat</v>
      </c>
      <c r="M113" s="29" t="str">
        <f>IF(F113&gt;=$D$109,"High-Value","Standard")</f>
        <v>Standard</v>
      </c>
    </row>
    <row r="114" spans="1:13">
      <c r="A114" s="19" t="str">
        <f>"CUST"&amp;TEXT(ROWS(A$112:A114),"000")</f>
        <v>CUST003</v>
      </c>
      <c r="B114" s="19" t="str">
        <f>INDEX(rdCust,MATCH(A114,rdCustID,0))</f>
        <v>Michael Brown</v>
      </c>
      <c r="C114" s="29" t="str">
        <f>LEFT(B114,1)&amp;MID(B114,FIND(" ",B114)+1,1)</f>
        <v>MB</v>
      </c>
      <c r="D114" s="19" t="str">
        <f>LEFT(B114,1)&amp;". "&amp;MID(B114,FIND(" ",B114)+1,LEN(B114))</f>
        <v>M. Brown</v>
      </c>
      <c r="E114" s="31">
        <f>COUNTIF(rdCustID,A114)</f>
        <v>9</v>
      </c>
      <c r="F114" s="24">
        <f>SUMIF(rdCustID,A114,rdAmt)</f>
        <v>6169.7400000000007</v>
      </c>
      <c r="G114" s="24">
        <f>IF(E114=0,0,F114/E114)</f>
        <v>685.52666666666676</v>
      </c>
      <c r="H114" s="31">
        <f>SUMIF(rdCustID,A114,rdQty)</f>
        <v>26</v>
      </c>
      <c r="I114" s="23">
        <f>_xlfn.MINIFS(rdSince,rdCustID,A114)</f>
        <v>44422</v>
      </c>
      <c r="J114" s="29" t="str">
        <f ca="1">DATEDIF(I114,TODAY(),"y")&amp;"y "&amp;DATEDIF(I114,TODAY(),"ym")&amp;"m"</f>
        <v>5y 2m</v>
      </c>
      <c r="K114" s="31">
        <f>RANK(F114,F$112:F$161)+COUNTIF(F$112:F114,F114)-1</f>
        <v>14</v>
      </c>
      <c r="L114" s="29" t="str">
        <f>IF(E114&gt;1,"Repeat","One-time")</f>
        <v>Repeat</v>
      </c>
      <c r="M114" s="29" t="str">
        <f>IF(F114&gt;=$D$109,"High-Value","Standard")</f>
        <v>Standard</v>
      </c>
    </row>
    <row r="115" spans="1:13">
      <c r="A115" s="19" t="str">
        <f>"CUST"&amp;TEXT(ROWS(A$112:A115),"000")</f>
        <v>CUST004</v>
      </c>
      <c r="B115" s="19" t="str">
        <f>INDEX(rdCust,MATCH(A115,rdCustID,0))</f>
        <v>Sarah Davis</v>
      </c>
      <c r="C115" s="29" t="str">
        <f>LEFT(B115,1)&amp;MID(B115,FIND(" ",B115)+1,1)</f>
        <v>SD</v>
      </c>
      <c r="D115" s="19" t="str">
        <f>LEFT(B115,1)&amp;". "&amp;MID(B115,FIND(" ",B115)+1,LEN(B115))</f>
        <v>S. Davis</v>
      </c>
      <c r="E115" s="31">
        <f>COUNTIF(rdCustID,A115)</f>
        <v>5</v>
      </c>
      <c r="F115" s="24">
        <f>SUMIF(rdCustID,A115,rdAmt)</f>
        <v>5499.8099999999995</v>
      </c>
      <c r="G115" s="24">
        <f>IF(E115=0,0,F115/E115)</f>
        <v>1099.962</v>
      </c>
      <c r="H115" s="31">
        <f>SUMIF(rdCustID,A115,rdQty)</f>
        <v>19</v>
      </c>
      <c r="I115" s="23">
        <f>_xlfn.MINIFS(rdSince,rdCustID,A115)</f>
        <v>44458</v>
      </c>
      <c r="J115" s="29" t="str">
        <f ca="1">DATEDIF(I115,TODAY(),"y")&amp;"y "&amp;DATEDIF(I115,TODAY(),"ym")&amp;"m"</f>
        <v>5y 0m</v>
      </c>
      <c r="K115" s="31">
        <f>RANK(F115,F$112:F$161)+COUNTIF(F$112:F115,F115)-1</f>
        <v>19</v>
      </c>
      <c r="L115" s="29" t="str">
        <f>IF(E115&gt;1,"Repeat","One-time")</f>
        <v>Repeat</v>
      </c>
      <c r="M115" s="29" t="str">
        <f>IF(F115&gt;=$D$109,"High-Value","Standard")</f>
        <v>Standard</v>
      </c>
    </row>
    <row r="116" spans="1:13">
      <c r="A116" s="19" t="str">
        <f>"CUST"&amp;TEXT(ROWS(A$112:A116),"000")</f>
        <v>CUST005</v>
      </c>
      <c r="B116" s="19" t="str">
        <f>INDEX(rdCust,MATCH(A116,rdCustID,0))</f>
        <v>James Johnson</v>
      </c>
      <c r="C116" s="29" t="str">
        <f>LEFT(B116,1)&amp;MID(B116,FIND(" ",B116)+1,1)</f>
        <v>JJ</v>
      </c>
      <c r="D116" s="19" t="str">
        <f>LEFT(B116,1)&amp;". "&amp;MID(B116,FIND(" ",B116)+1,LEN(B116))</f>
        <v>J. Johnson</v>
      </c>
      <c r="E116" s="31">
        <f>COUNTIF(rdCustID,A116)</f>
        <v>1</v>
      </c>
      <c r="F116" s="24">
        <f>SUMIF(rdCustID,A116,rdAmt)</f>
        <v>179.97</v>
      </c>
      <c r="G116" s="24">
        <f>IF(E116=0,0,F116/E116)</f>
        <v>179.97</v>
      </c>
      <c r="H116" s="31">
        <f>SUMIF(rdCustID,A116,rdQty)</f>
        <v>3</v>
      </c>
      <c r="I116" s="23">
        <f>_xlfn.MINIFS(rdSince,rdCustID,A116)</f>
        <v>45052</v>
      </c>
      <c r="J116" s="29" t="str">
        <f ca="1">DATEDIF(I116,TODAY(),"y")&amp;"y "&amp;DATEDIF(I116,TODAY(),"ym")&amp;"m"</f>
        <v>3y 5m</v>
      </c>
      <c r="K116" s="31">
        <f>RANK(F116,F$112:F$161)+COUNTIF(F$112:F116,F116)-1</f>
        <v>50</v>
      </c>
      <c r="L116" s="29" t="str">
        <f>IF(E116&gt;1,"Repeat","One-time")</f>
        <v>One-time</v>
      </c>
      <c r="M116" s="29" t="str">
        <f>IF(F116&gt;=$D$109,"High-Value","Standard")</f>
        <v>Standard</v>
      </c>
    </row>
    <row r="117" spans="1:13">
      <c r="A117" s="19" t="str">
        <f>"CUST"&amp;TEXT(ROWS(A$112:A117),"000")</f>
        <v>CUST006</v>
      </c>
      <c r="B117" s="19" t="str">
        <f>INDEX(rdCust,MATCH(A117,rdCustID,0))</f>
        <v>Lisa Anderson</v>
      </c>
      <c r="C117" s="29" t="str">
        <f>LEFT(B117,1)&amp;MID(B117,FIND(" ",B117)+1,1)</f>
        <v>LA</v>
      </c>
      <c r="D117" s="19" t="str">
        <f>LEFT(B117,1)&amp;". "&amp;MID(B117,FIND(" ",B117)+1,LEN(B117))</f>
        <v>L. Anderson</v>
      </c>
      <c r="E117" s="31">
        <f>COUNTIF(rdCustID,A117)</f>
        <v>5</v>
      </c>
      <c r="F117" s="24">
        <f>SUMIF(rdCustID,A117,rdAmt)</f>
        <v>2039.8000000000002</v>
      </c>
      <c r="G117" s="24">
        <f>IF(E117=0,0,F117/E117)</f>
        <v>407.96000000000004</v>
      </c>
      <c r="H117" s="31">
        <f>SUMIF(rdCustID,A117,rdQty)</f>
        <v>20</v>
      </c>
      <c r="I117" s="23">
        <f>_xlfn.MINIFS(rdSince,rdCustID,A117)</f>
        <v>44579</v>
      </c>
      <c r="J117" s="29" t="str">
        <f ca="1">DATEDIF(I117,TODAY(),"y")&amp;"y "&amp;DATEDIF(I117,TODAY(),"ym")&amp;"m"</f>
        <v>4y 8m</v>
      </c>
      <c r="K117" s="31">
        <f>RANK(F117,F$112:F$161)+COUNTIF(F$112:F117,F117)-1</f>
        <v>36</v>
      </c>
      <c r="L117" s="29" t="str">
        <f>IF(E117&gt;1,"Repeat","One-time")</f>
        <v>Repeat</v>
      </c>
      <c r="M117" s="29" t="str">
        <f>IF(F117&gt;=$D$109,"High-Value","Standard")</f>
        <v>Standard</v>
      </c>
    </row>
    <row r="118" spans="1:13">
      <c r="A118" s="19" t="str">
        <f>"CUST"&amp;TEXT(ROWS(A$112:A118),"000")</f>
        <v>CUST007</v>
      </c>
      <c r="B118" s="19" t="str">
        <f>INDEX(rdCust,MATCH(A118,rdCustID,0))</f>
        <v>David Martinez</v>
      </c>
      <c r="C118" s="29" t="str">
        <f>LEFT(B118,1)&amp;MID(B118,FIND(" ",B118)+1,1)</f>
        <v>DM</v>
      </c>
      <c r="D118" s="19" t="str">
        <f>LEFT(B118,1)&amp;". "&amp;MID(B118,FIND(" ",B118)+1,LEN(B118))</f>
        <v>D. Martinez</v>
      </c>
      <c r="E118" s="31">
        <f>COUNTIF(rdCustID,A118)</f>
        <v>6</v>
      </c>
      <c r="F118" s="24">
        <f>SUMIF(rdCustID,A118,rdAmt)</f>
        <v>1809.84</v>
      </c>
      <c r="G118" s="24">
        <f>IF(E118=0,0,F118/E118)</f>
        <v>301.64</v>
      </c>
      <c r="H118" s="31">
        <f>SUMIF(rdCustID,A118,rdQty)</f>
        <v>16</v>
      </c>
      <c r="I118" s="23">
        <f>_xlfn.MINIFS(rdSince,rdCustID,A118)</f>
        <v>44522</v>
      </c>
      <c r="J118" s="29" t="str">
        <f ca="1">DATEDIF(I118,TODAY(),"y")&amp;"y "&amp;DATEDIF(I118,TODAY(),"ym")&amp;"m"</f>
        <v>4y 10m</v>
      </c>
      <c r="K118" s="31">
        <f>RANK(F118,F$112:F$161)+COUNTIF(F$112:F118,F118)-1</f>
        <v>39</v>
      </c>
      <c r="L118" s="29" t="str">
        <f>IF(E118&gt;1,"Repeat","One-time")</f>
        <v>Repeat</v>
      </c>
      <c r="M118" s="29" t="str">
        <f>IF(F118&gt;=$D$109,"High-Value","Standard")</f>
        <v>Standard</v>
      </c>
    </row>
    <row r="119" spans="1:13">
      <c r="A119" s="19" t="str">
        <f>"CUST"&amp;TEXT(ROWS(A$112:A119),"000")</f>
        <v>CUST008</v>
      </c>
      <c r="B119" s="19" t="str">
        <f>INDEX(rdCust,MATCH(A119,rdCustID,0))</f>
        <v>Jennifer Taylor</v>
      </c>
      <c r="C119" s="29" t="str">
        <f>LEFT(B119,1)&amp;MID(B119,FIND(" ",B119)+1,1)</f>
        <v>JT</v>
      </c>
      <c r="D119" s="19" t="str">
        <f>LEFT(B119,1)&amp;". "&amp;MID(B119,FIND(" ",B119)+1,LEN(B119))</f>
        <v>J. Taylor</v>
      </c>
      <c r="E119" s="31">
        <f>COUNTIF(rdCustID,A119)</f>
        <v>4</v>
      </c>
      <c r="F119" s="24">
        <f>SUMIF(rdCustID,A119,rdAmt)</f>
        <v>4739.8500000000004</v>
      </c>
      <c r="G119" s="24">
        <f>IF(E119=0,0,F119/E119)</f>
        <v>1184.9625000000001</v>
      </c>
      <c r="H119" s="31">
        <f>SUMIF(rdCustID,A119,rdQty)</f>
        <v>15</v>
      </c>
      <c r="I119" s="23">
        <f>_xlfn.MINIFS(rdSince,rdCustID,A119)</f>
        <v>44407</v>
      </c>
      <c r="J119" s="29" t="str">
        <f ca="1">DATEDIF(I119,TODAY(),"y")&amp;"y "&amp;DATEDIF(I119,TODAY(),"ym")&amp;"m"</f>
        <v>5y 2m</v>
      </c>
      <c r="K119" s="31">
        <f>RANK(F119,F$112:F$161)+COUNTIF(F$112:F119,F119)-1</f>
        <v>24</v>
      </c>
      <c r="L119" s="29" t="str">
        <f>IF(E119&gt;1,"Repeat","One-time")</f>
        <v>Repeat</v>
      </c>
      <c r="M119" s="29" t="str">
        <f>IF(F119&gt;=$D$109,"High-Value","Standard")</f>
        <v>Standard</v>
      </c>
    </row>
    <row r="120" spans="1:13">
      <c r="A120" s="19" t="str">
        <f>"CUST"&amp;TEXT(ROWS(A$112:A120),"000")</f>
        <v>CUST009</v>
      </c>
      <c r="B120" s="19" t="str">
        <f>INDEX(rdCust,MATCH(A120,rdCustID,0))</f>
        <v>Robert Thomas</v>
      </c>
      <c r="C120" s="29" t="str">
        <f>LEFT(B120,1)&amp;MID(B120,FIND(" ",B120)+1,1)</f>
        <v>RT</v>
      </c>
      <c r="D120" s="19" t="str">
        <f>LEFT(B120,1)&amp;". "&amp;MID(B120,FIND(" ",B120)+1,LEN(B120))</f>
        <v>R. Thomas</v>
      </c>
      <c r="E120" s="31">
        <f>COUNTIF(rdCustID,A120)</f>
        <v>5</v>
      </c>
      <c r="F120" s="24">
        <f>SUMIF(rdCustID,A120,rdAmt)</f>
        <v>3509.8999999999996</v>
      </c>
      <c r="G120" s="24">
        <f>IF(E120=0,0,F120/E120)</f>
        <v>701.9799999999999</v>
      </c>
      <c r="H120" s="31">
        <f>SUMIF(rdCustID,A120,rdQty)</f>
        <v>10</v>
      </c>
      <c r="I120" s="23">
        <f>_xlfn.MINIFS(rdSince,rdCustID,A120)</f>
        <v>44395</v>
      </c>
      <c r="J120" s="29" t="str">
        <f ca="1">DATEDIF(I120,TODAY(),"y")&amp;"y "&amp;DATEDIF(I120,TODAY(),"ym")&amp;"m"</f>
        <v>5y 2m</v>
      </c>
      <c r="K120" s="31">
        <f>RANK(F120,F$112:F$161)+COUNTIF(F$112:F120,F120)-1</f>
        <v>32</v>
      </c>
      <c r="L120" s="29" t="str">
        <f>IF(E120&gt;1,"Repeat","One-time")</f>
        <v>Repeat</v>
      </c>
      <c r="M120" s="29" t="str">
        <f>IF(F120&gt;=$D$109,"High-Value","Standard")</f>
        <v>Standard</v>
      </c>
    </row>
    <row r="121" spans="1:13">
      <c r="A121" s="19" t="str">
        <f>"CUST"&amp;TEXT(ROWS(A$112:A121),"000")</f>
        <v>CUST010</v>
      </c>
      <c r="B121" s="19" t="str">
        <f>INDEX(rdCust,MATCH(A121,rdCustID,0))</f>
        <v>Maria Garcia</v>
      </c>
      <c r="C121" s="29" t="str">
        <f>LEFT(B121,1)&amp;MID(B121,FIND(" ",B121)+1,1)</f>
        <v>MG</v>
      </c>
      <c r="D121" s="19" t="str">
        <f>LEFT(B121,1)&amp;". "&amp;MID(B121,FIND(" ",B121)+1,LEN(B121))</f>
        <v>M. Garcia</v>
      </c>
      <c r="E121" s="31">
        <f>COUNTIF(rdCustID,A121)</f>
        <v>4</v>
      </c>
      <c r="F121" s="24">
        <f>SUMIF(rdCustID,A121,rdAmt)</f>
        <v>1909.93</v>
      </c>
      <c r="G121" s="24">
        <f>IF(E121=0,0,F121/E121)</f>
        <v>477.48250000000002</v>
      </c>
      <c r="H121" s="31">
        <f>SUMIF(rdCustID,A121,rdQty)</f>
        <v>7</v>
      </c>
      <c r="I121" s="23">
        <f>_xlfn.MINIFS(rdSince,rdCustID,A121)</f>
        <v>44579</v>
      </c>
      <c r="J121" s="29" t="str">
        <f ca="1">DATEDIF(I121,TODAY(),"y")&amp;"y "&amp;DATEDIF(I121,TODAY(),"ym")&amp;"m"</f>
        <v>4y 8m</v>
      </c>
      <c r="K121" s="31">
        <f>RANK(F121,F$112:F$161)+COUNTIF(F$112:F121,F121)-1</f>
        <v>38</v>
      </c>
      <c r="L121" s="29" t="str">
        <f>IF(E121&gt;1,"Repeat","One-time")</f>
        <v>Repeat</v>
      </c>
      <c r="M121" s="29" t="str">
        <f>IF(F121&gt;=$D$109,"High-Value","Standard")</f>
        <v>Standard</v>
      </c>
    </row>
    <row r="122" spans="1:13">
      <c r="A122" s="19" t="str">
        <f>"CUST"&amp;TEXT(ROWS(A$112:A122),"000")</f>
        <v>CUST011</v>
      </c>
      <c r="B122" s="19" t="str">
        <f>INDEX(rdCust,MATCH(A122,rdCustID,0))</f>
        <v>William White</v>
      </c>
      <c r="C122" s="29" t="str">
        <f>LEFT(B122,1)&amp;MID(B122,FIND(" ",B122)+1,1)</f>
        <v>WW</v>
      </c>
      <c r="D122" s="19" t="str">
        <f>LEFT(B122,1)&amp;". "&amp;MID(B122,FIND(" ",B122)+1,LEN(B122))</f>
        <v>W. White</v>
      </c>
      <c r="E122" s="31">
        <f>COUNTIF(rdCustID,A122)</f>
        <v>3</v>
      </c>
      <c r="F122" s="24">
        <f>SUMIF(rdCustID,A122,rdAmt)</f>
        <v>4749.91</v>
      </c>
      <c r="G122" s="24">
        <f>IF(E122=0,0,F122/E122)</f>
        <v>1583.3033333333333</v>
      </c>
      <c r="H122" s="31">
        <f>SUMIF(rdCustID,A122,rdQty)</f>
        <v>9</v>
      </c>
      <c r="I122" s="23">
        <f>_xlfn.MINIFS(rdSince,rdCustID,A122)</f>
        <v>44482</v>
      </c>
      <c r="J122" s="29" t="str">
        <f ca="1">DATEDIF(I122,TODAY(),"y")&amp;"y "&amp;DATEDIF(I122,TODAY(),"ym")&amp;"m"</f>
        <v>5y 0m</v>
      </c>
      <c r="K122" s="31">
        <f>RANK(F122,F$112:F$161)+COUNTIF(F$112:F122,F122)-1</f>
        <v>23</v>
      </c>
      <c r="L122" s="29" t="str">
        <f>IF(E122&gt;1,"Repeat","One-time")</f>
        <v>Repeat</v>
      </c>
      <c r="M122" s="29" t="str">
        <f>IF(F122&gt;=$D$109,"High-Value","Standard")</f>
        <v>Standard</v>
      </c>
    </row>
    <row r="123" spans="1:13">
      <c r="A123" s="19" t="str">
        <f>"CUST"&amp;TEXT(ROWS(A$112:A123),"000")</f>
        <v>CUST012</v>
      </c>
      <c r="B123" s="19" t="str">
        <f>INDEX(rdCust,MATCH(A123,rdCustID,0))</f>
        <v>Patricia Moore</v>
      </c>
      <c r="C123" s="29" t="str">
        <f>LEFT(B123,1)&amp;MID(B123,FIND(" ",B123)+1,1)</f>
        <v>PM</v>
      </c>
      <c r="D123" s="19" t="str">
        <f>LEFT(B123,1)&amp;". "&amp;MID(B123,FIND(" ",B123)+1,LEN(B123))</f>
        <v>P. Moore</v>
      </c>
      <c r="E123" s="31">
        <f>COUNTIF(rdCustID,A123)</f>
        <v>8</v>
      </c>
      <c r="F123" s="24">
        <f>SUMIF(rdCustID,A123,rdAmt)</f>
        <v>9799.73</v>
      </c>
      <c r="G123" s="24">
        <f>IF(E123=0,0,F123/E123)</f>
        <v>1224.9662499999999</v>
      </c>
      <c r="H123" s="31">
        <f>SUMIF(rdCustID,A123,rdQty)</f>
        <v>27</v>
      </c>
      <c r="I123" s="23">
        <f>_xlfn.MINIFS(rdSince,rdCustID,A123)</f>
        <v>44409</v>
      </c>
      <c r="J123" s="29" t="str">
        <f ca="1">DATEDIF(I123,TODAY(),"y")&amp;"y "&amp;DATEDIF(I123,TODAY(),"ym")&amp;"m"</f>
        <v>5y 2m</v>
      </c>
      <c r="K123" s="31">
        <f>RANK(F123,F$112:F$161)+COUNTIF(F$112:F123,F123)-1</f>
        <v>4</v>
      </c>
      <c r="L123" s="29" t="str">
        <f>IF(E123&gt;1,"Repeat","One-time")</f>
        <v>Repeat</v>
      </c>
      <c r="M123" s="29" t="str">
        <f>IF(F123&gt;=$D$109,"High-Value","Standard")</f>
        <v>High-Value</v>
      </c>
    </row>
    <row r="124" spans="1:13">
      <c r="A124" s="19" t="str">
        <f>"CUST"&amp;TEXT(ROWS(A$112:A124),"000")</f>
        <v>CUST013</v>
      </c>
      <c r="B124" s="19" t="str">
        <f>INDEX(rdCust,MATCH(A124,rdCustID,0))</f>
        <v>Joseph Jackson</v>
      </c>
      <c r="C124" s="29" t="str">
        <f>LEFT(B124,1)&amp;MID(B124,FIND(" ",B124)+1,1)</f>
        <v>JJ</v>
      </c>
      <c r="D124" s="19" t="str">
        <f>LEFT(B124,1)&amp;". "&amp;MID(B124,FIND(" ",B124)+1,LEN(B124))</f>
        <v>J. Jackson</v>
      </c>
      <c r="E124" s="31">
        <f>COUNTIF(rdCustID,A124)</f>
        <v>5</v>
      </c>
      <c r="F124" s="24">
        <f>SUMIF(rdCustID,A124,rdAmt)</f>
        <v>6949.84</v>
      </c>
      <c r="G124" s="24">
        <f>IF(E124=0,0,F124/E124)</f>
        <v>1389.9680000000001</v>
      </c>
      <c r="H124" s="31">
        <f>SUMIF(rdCustID,A124,rdQty)</f>
        <v>16</v>
      </c>
      <c r="I124" s="23">
        <f>_xlfn.MINIFS(rdSince,rdCustID,A124)</f>
        <v>44475</v>
      </c>
      <c r="J124" s="29" t="str">
        <f ca="1">DATEDIF(I124,TODAY(),"y")&amp;"y "&amp;DATEDIF(I124,TODAY(),"ym")&amp;"m"</f>
        <v>5y 0m</v>
      </c>
      <c r="K124" s="31">
        <f>RANK(F124,F$112:F$161)+COUNTIF(F$112:F124,F124)-1</f>
        <v>10</v>
      </c>
      <c r="L124" s="29" t="str">
        <f>IF(E124&gt;1,"Repeat","One-time")</f>
        <v>Repeat</v>
      </c>
      <c r="M124" s="29" t="str">
        <f>IF(F124&gt;=$D$109,"High-Value","Standard")</f>
        <v>High-Value</v>
      </c>
    </row>
    <row r="125" spans="1:13">
      <c r="A125" s="19" t="str">
        <f>"CUST"&amp;TEXT(ROWS(A$112:A125),"000")</f>
        <v>CUST014</v>
      </c>
      <c r="B125" s="19" t="str">
        <f>INDEX(rdCust,MATCH(A125,rdCustID,0))</f>
        <v>Linda Martin</v>
      </c>
      <c r="C125" s="29" t="str">
        <f>LEFT(B125,1)&amp;MID(B125,FIND(" ",B125)+1,1)</f>
        <v>LM</v>
      </c>
      <c r="D125" s="19" t="str">
        <f>LEFT(B125,1)&amp;". "&amp;MID(B125,FIND(" ",B125)+1,LEN(B125))</f>
        <v>L. Martin</v>
      </c>
      <c r="E125" s="31">
        <f>COUNTIF(rdCustID,A125)</f>
        <v>4</v>
      </c>
      <c r="F125" s="24">
        <f>SUMIF(rdCustID,A125,rdAmt)</f>
        <v>1289.9000000000001</v>
      </c>
      <c r="G125" s="24">
        <f>IF(E125=0,0,F125/E125)</f>
        <v>322.47500000000002</v>
      </c>
      <c r="H125" s="31">
        <f>SUMIF(rdCustID,A125,rdQty)</f>
        <v>10</v>
      </c>
      <c r="I125" s="23">
        <f>_xlfn.MINIFS(rdSince,rdCustID,A125)</f>
        <v>44886</v>
      </c>
      <c r="J125" s="29" t="str">
        <f ca="1">DATEDIF(I125,TODAY(),"y")&amp;"y "&amp;DATEDIF(I125,TODAY(),"ym")&amp;"m"</f>
        <v>3y 10m</v>
      </c>
      <c r="K125" s="31">
        <f>RANK(F125,F$112:F$161)+COUNTIF(F$112:F125,F125)-1</f>
        <v>43</v>
      </c>
      <c r="L125" s="29" t="str">
        <f>IF(E125&gt;1,"Repeat","One-time")</f>
        <v>Repeat</v>
      </c>
      <c r="M125" s="29" t="str">
        <f>IF(F125&gt;=$D$109,"High-Value","Standard")</f>
        <v>Standard</v>
      </c>
    </row>
    <row r="126" spans="1:13">
      <c r="A126" s="19" t="str">
        <f>"CUST"&amp;TEXT(ROWS(A$112:A126),"000")</f>
        <v>CUST015</v>
      </c>
      <c r="B126" s="19" t="str">
        <f>INDEX(rdCust,MATCH(A126,rdCustID,0))</f>
        <v>Richard Lee</v>
      </c>
      <c r="C126" s="29" t="str">
        <f>LEFT(B126,1)&amp;MID(B126,FIND(" ",B126)+1,1)</f>
        <v>RL</v>
      </c>
      <c r="D126" s="19" t="str">
        <f>LEFT(B126,1)&amp;". "&amp;MID(B126,FIND(" ",B126)+1,LEN(B126))</f>
        <v>R. Lee</v>
      </c>
      <c r="E126" s="31">
        <f>COUNTIF(rdCustID,A126)</f>
        <v>3</v>
      </c>
      <c r="F126" s="24">
        <f>SUMIF(rdCustID,A126,rdAmt)</f>
        <v>739.93000000000006</v>
      </c>
      <c r="G126" s="24">
        <f>IF(E126=0,0,F126/E126)</f>
        <v>246.64333333333335</v>
      </c>
      <c r="H126" s="31">
        <f>SUMIF(rdCustID,A126,rdQty)</f>
        <v>7</v>
      </c>
      <c r="I126" s="23">
        <f>_xlfn.MINIFS(rdSince,rdCustID,A126)</f>
        <v>44728</v>
      </c>
      <c r="J126" s="29" t="str">
        <f ca="1">DATEDIF(I126,TODAY(),"y")&amp;"y "&amp;DATEDIF(I126,TODAY(),"ym")&amp;"m"</f>
        <v>4y 3m</v>
      </c>
      <c r="K126" s="31">
        <f>RANK(F126,F$112:F$161)+COUNTIF(F$112:F126,F126)-1</f>
        <v>46</v>
      </c>
      <c r="L126" s="29" t="str">
        <f>IF(E126&gt;1,"Repeat","One-time")</f>
        <v>Repeat</v>
      </c>
      <c r="M126" s="29" t="str">
        <f>IF(F126&gt;=$D$109,"High-Value","Standard")</f>
        <v>Standard</v>
      </c>
    </row>
    <row r="127" spans="1:13">
      <c r="A127" s="19" t="str">
        <f>"CUST"&amp;TEXT(ROWS(A$112:A127),"000")</f>
        <v>CUST016</v>
      </c>
      <c r="B127" s="19" t="str">
        <f>INDEX(rdCust,MATCH(A127,rdCustID,0))</f>
        <v>Elizabeth Hall</v>
      </c>
      <c r="C127" s="29" t="str">
        <f>LEFT(B127,1)&amp;MID(B127,FIND(" ",B127)+1,1)</f>
        <v>EH</v>
      </c>
      <c r="D127" s="19" t="str">
        <f>LEFT(B127,1)&amp;". "&amp;MID(B127,FIND(" ",B127)+1,LEN(B127))</f>
        <v>E. Hall</v>
      </c>
      <c r="E127" s="31">
        <f>COUNTIF(rdCustID,A127)</f>
        <v>4</v>
      </c>
      <c r="F127" s="24">
        <f>SUMIF(rdCustID,A127,rdAmt)</f>
        <v>3649.8599999999997</v>
      </c>
      <c r="G127" s="24">
        <f>IF(E127=0,0,F127/E127)</f>
        <v>912.46499999999992</v>
      </c>
      <c r="H127" s="31">
        <f>SUMIF(rdCustID,A127,rdQty)</f>
        <v>14</v>
      </c>
      <c r="I127" s="23">
        <f>_xlfn.MINIFS(rdSince,rdCustID,A127)</f>
        <v>44431</v>
      </c>
      <c r="J127" s="29" t="str">
        <f ca="1">DATEDIF(I127,TODAY(),"y")&amp;"y "&amp;DATEDIF(I127,TODAY(),"ym")&amp;"m"</f>
        <v>5y 1m</v>
      </c>
      <c r="K127" s="31">
        <f>RANK(F127,F$112:F$161)+COUNTIF(F$112:F127,F127)-1</f>
        <v>31</v>
      </c>
      <c r="L127" s="29" t="str">
        <f>IF(E127&gt;1,"Repeat","One-time")</f>
        <v>Repeat</v>
      </c>
      <c r="M127" s="29" t="str">
        <f>IF(F127&gt;=$D$109,"High-Value","Standard")</f>
        <v>Standard</v>
      </c>
    </row>
    <row r="128" spans="1:13">
      <c r="A128" s="19" t="str">
        <f>"CUST"&amp;TEXT(ROWS(A$112:A128),"000")</f>
        <v>CUST017</v>
      </c>
      <c r="B128" s="19" t="str">
        <f>INDEX(rdCust,MATCH(A128,rdCustID,0))</f>
        <v>Charles Allen</v>
      </c>
      <c r="C128" s="29" t="str">
        <f>LEFT(B128,1)&amp;MID(B128,FIND(" ",B128)+1,1)</f>
        <v>CA</v>
      </c>
      <c r="D128" s="19" t="str">
        <f>LEFT(B128,1)&amp;". "&amp;MID(B128,FIND(" ",B128)+1,LEN(B128))</f>
        <v>C. Allen</v>
      </c>
      <c r="E128" s="31">
        <f>COUNTIF(rdCustID,A128)</f>
        <v>9</v>
      </c>
      <c r="F128" s="24">
        <f>SUMIF(rdCustID,A128,rdAmt)</f>
        <v>5089.7300000000005</v>
      </c>
      <c r="G128" s="24">
        <f>IF(E128=0,0,F128/E128)</f>
        <v>565.52555555555557</v>
      </c>
      <c r="H128" s="31">
        <f>SUMIF(rdCustID,A128,rdQty)</f>
        <v>27</v>
      </c>
      <c r="I128" s="23">
        <f>_xlfn.MINIFS(rdSince,rdCustID,A128)</f>
        <v>44412</v>
      </c>
      <c r="J128" s="29" t="str">
        <f ca="1">DATEDIF(I128,TODAY(),"y")&amp;"y "&amp;DATEDIF(I128,TODAY(),"ym")&amp;"m"</f>
        <v>5y 2m</v>
      </c>
      <c r="K128" s="31">
        <f>RANK(F128,F$112:F$161)+COUNTIF(F$112:F128,F128)-1</f>
        <v>20</v>
      </c>
      <c r="L128" s="29" t="str">
        <f>IF(E128&gt;1,"Repeat","One-time")</f>
        <v>Repeat</v>
      </c>
      <c r="M128" s="29" t="str">
        <f>IF(F128&gt;=$D$109,"High-Value","Standard")</f>
        <v>Standard</v>
      </c>
    </row>
    <row r="129" spans="1:13">
      <c r="A129" s="19" t="str">
        <f>"CUST"&amp;TEXT(ROWS(A$112:A129),"000")</f>
        <v>CUST018</v>
      </c>
      <c r="B129" s="19" t="str">
        <f>INDEX(rdCust,MATCH(A129,rdCustID,0))</f>
        <v>Barbara Young</v>
      </c>
      <c r="C129" s="29" t="str">
        <f>LEFT(B129,1)&amp;MID(B129,FIND(" ",B129)+1,1)</f>
        <v>BY</v>
      </c>
      <c r="D129" s="19" t="str">
        <f>LEFT(B129,1)&amp;". "&amp;MID(B129,FIND(" ",B129)+1,LEN(B129))</f>
        <v>B. Young</v>
      </c>
      <c r="E129" s="31">
        <f>COUNTIF(rdCustID,A129)</f>
        <v>5</v>
      </c>
      <c r="F129" s="24">
        <f>SUMIF(rdCustID,A129,rdAmt)</f>
        <v>10649.8</v>
      </c>
      <c r="G129" s="24">
        <f>IF(E129=0,0,F129/E129)</f>
        <v>2129.96</v>
      </c>
      <c r="H129" s="31">
        <f>SUMIF(rdCustID,A129,rdQty)</f>
        <v>20</v>
      </c>
      <c r="I129" s="23">
        <f>_xlfn.MINIFS(rdSince,rdCustID,A129)</f>
        <v>44613</v>
      </c>
      <c r="J129" s="29" t="str">
        <f ca="1">DATEDIF(I129,TODAY(),"y")&amp;"y "&amp;DATEDIF(I129,TODAY(),"ym")&amp;"m"</f>
        <v>4y 7m</v>
      </c>
      <c r="K129" s="31">
        <f>RANK(F129,F$112:F$161)+COUNTIF(F$112:F129,F129)-1</f>
        <v>3</v>
      </c>
      <c r="L129" s="29" t="str">
        <f>IF(E129&gt;1,"Repeat","One-time")</f>
        <v>Repeat</v>
      </c>
      <c r="M129" s="29" t="str">
        <f>IF(F129&gt;=$D$109,"High-Value","Standard")</f>
        <v>High-Value</v>
      </c>
    </row>
    <row r="130" spans="1:13">
      <c r="A130" s="19" t="str">
        <f>"CUST"&amp;TEXT(ROWS(A$112:A130),"000")</f>
        <v>CUST019</v>
      </c>
      <c r="B130" s="19" t="str">
        <f>INDEX(rdCust,MATCH(A130,rdCustID,0))</f>
        <v>Daniel King</v>
      </c>
      <c r="C130" s="29" t="str">
        <f>LEFT(B130,1)&amp;MID(B130,FIND(" ",B130)+1,1)</f>
        <v>DK</v>
      </c>
      <c r="D130" s="19" t="str">
        <f>LEFT(B130,1)&amp;". "&amp;MID(B130,FIND(" ",B130)+1,LEN(B130))</f>
        <v>D. King</v>
      </c>
      <c r="E130" s="31">
        <f>COUNTIF(rdCustID,A130)</f>
        <v>7</v>
      </c>
      <c r="F130" s="24">
        <f>SUMIF(rdCustID,A130,rdAmt)</f>
        <v>7309.7999999999993</v>
      </c>
      <c r="G130" s="24">
        <f>IF(E130=0,0,F130/E130)</f>
        <v>1044.2571428571428</v>
      </c>
      <c r="H130" s="31">
        <f>SUMIF(rdCustID,A130,rdQty)</f>
        <v>20</v>
      </c>
      <c r="I130" s="23">
        <f>_xlfn.MINIFS(rdSince,rdCustID,A130)</f>
        <v>44446</v>
      </c>
      <c r="J130" s="29" t="str">
        <f ca="1">DATEDIF(I130,TODAY(),"y")&amp;"y "&amp;DATEDIF(I130,TODAY(),"ym")&amp;"m"</f>
        <v>5y 1m</v>
      </c>
      <c r="K130" s="31">
        <f>RANK(F130,F$112:F$161)+COUNTIF(F$112:F130,F130)-1</f>
        <v>8</v>
      </c>
      <c r="L130" s="29" t="str">
        <f>IF(E130&gt;1,"Repeat","One-time")</f>
        <v>Repeat</v>
      </c>
      <c r="M130" s="29" t="str">
        <f>IF(F130&gt;=$D$109,"High-Value","Standard")</f>
        <v>High-Value</v>
      </c>
    </row>
    <row r="131" spans="1:13">
      <c r="A131" s="19" t="str">
        <f>"CUST"&amp;TEXT(ROWS(A$112:A131),"000")</f>
        <v>CUST020</v>
      </c>
      <c r="B131" s="19" t="str">
        <f>INDEX(rdCust,MATCH(A131,rdCustID,0))</f>
        <v>Margaret Wright</v>
      </c>
      <c r="C131" s="29" t="str">
        <f>LEFT(B131,1)&amp;MID(B131,FIND(" ",B131)+1,1)</f>
        <v>MW</v>
      </c>
      <c r="D131" s="19" t="str">
        <f>LEFT(B131,1)&amp;". "&amp;MID(B131,FIND(" ",B131)+1,LEN(B131))</f>
        <v>M. Wright</v>
      </c>
      <c r="E131" s="31">
        <f>COUNTIF(rdCustID,A131)</f>
        <v>4</v>
      </c>
      <c r="F131" s="24">
        <f>SUMIF(rdCustID,A131,rdAmt)</f>
        <v>2099.88</v>
      </c>
      <c r="G131" s="24">
        <f>IF(E131=0,0,F131/E131)</f>
        <v>524.97</v>
      </c>
      <c r="H131" s="31">
        <f>SUMIF(rdCustID,A131,rdQty)</f>
        <v>12</v>
      </c>
      <c r="I131" s="23">
        <f>_xlfn.MINIFS(rdSince,rdCustID,A131)</f>
        <v>44421</v>
      </c>
      <c r="J131" s="29" t="str">
        <f ca="1">DATEDIF(I131,TODAY(),"y")&amp;"y "&amp;DATEDIF(I131,TODAY(),"ym")&amp;"m"</f>
        <v>5y 2m</v>
      </c>
      <c r="K131" s="31">
        <f>RANK(F131,F$112:F$161)+COUNTIF(F$112:F131,F131)-1</f>
        <v>35</v>
      </c>
      <c r="L131" s="29" t="str">
        <f>IF(E131&gt;1,"Repeat","One-time")</f>
        <v>Repeat</v>
      </c>
      <c r="M131" s="29" t="str">
        <f>IF(F131&gt;=$D$109,"High-Value","Standard")</f>
        <v>Standard</v>
      </c>
    </row>
    <row r="132" spans="1:13">
      <c r="A132" s="19" t="str">
        <f>"CUST"&amp;TEXT(ROWS(A$112:A132),"000")</f>
        <v>CUST021</v>
      </c>
      <c r="B132" s="19" t="str">
        <f>INDEX(rdCust,MATCH(A132,rdCustID,0))</f>
        <v>Kevin Scott</v>
      </c>
      <c r="C132" s="29" t="str">
        <f>LEFT(B132,1)&amp;MID(B132,FIND(" ",B132)+1,1)</f>
        <v>KS</v>
      </c>
      <c r="D132" s="19" t="str">
        <f>LEFT(B132,1)&amp;". "&amp;MID(B132,FIND(" ",B132)+1,LEN(B132))</f>
        <v>K. Scott</v>
      </c>
      <c r="E132" s="31">
        <f>COUNTIF(rdCustID,A132)</f>
        <v>6</v>
      </c>
      <c r="F132" s="24">
        <f>SUMIF(rdCustID,A132,rdAmt)</f>
        <v>3259.87</v>
      </c>
      <c r="G132" s="24">
        <f>IF(E132=0,0,F132/E132)</f>
        <v>543.31166666666661</v>
      </c>
      <c r="H132" s="31">
        <f>SUMIF(rdCustID,A132,rdQty)</f>
        <v>13</v>
      </c>
      <c r="I132" s="23">
        <f>_xlfn.MINIFS(rdSince,rdCustID,A132)</f>
        <v>44578</v>
      </c>
      <c r="J132" s="29" t="str">
        <f ca="1">DATEDIF(I132,TODAY(),"y")&amp;"y "&amp;DATEDIF(I132,TODAY(),"ym")&amp;"m"</f>
        <v>4y 8m</v>
      </c>
      <c r="K132" s="31">
        <f>RANK(F132,F$112:F$161)+COUNTIF(F$112:F132,F132)-1</f>
        <v>33</v>
      </c>
      <c r="L132" s="29" t="str">
        <f>IF(E132&gt;1,"Repeat","One-time")</f>
        <v>Repeat</v>
      </c>
      <c r="M132" s="29" t="str">
        <f>IF(F132&gt;=$D$109,"High-Value","Standard")</f>
        <v>Standard</v>
      </c>
    </row>
    <row r="133" spans="1:13">
      <c r="A133" s="19" t="str">
        <f>"CUST"&amp;TEXT(ROWS(A$112:A133),"000")</f>
        <v>CUST022</v>
      </c>
      <c r="B133" s="19" t="str">
        <f>INDEX(rdCust,MATCH(A133,rdCustID,0))</f>
        <v>Susan Green</v>
      </c>
      <c r="C133" s="29" t="str">
        <f>LEFT(B133,1)&amp;MID(B133,FIND(" ",B133)+1,1)</f>
        <v>SG</v>
      </c>
      <c r="D133" s="19" t="str">
        <f>LEFT(B133,1)&amp;". "&amp;MID(B133,FIND(" ",B133)+1,LEN(B133))</f>
        <v>S. Green</v>
      </c>
      <c r="E133" s="31">
        <f>COUNTIF(rdCustID,A133)</f>
        <v>4</v>
      </c>
      <c r="F133" s="24">
        <f>SUMIF(rdCustID,A133,rdAmt)</f>
        <v>1979.89</v>
      </c>
      <c r="G133" s="24">
        <f>IF(E133=0,0,F133/E133)</f>
        <v>494.97250000000003</v>
      </c>
      <c r="H133" s="31">
        <f>SUMIF(rdCustID,A133,rdQty)</f>
        <v>11</v>
      </c>
      <c r="I133" s="23">
        <f>_xlfn.MINIFS(rdSince,rdCustID,A133)</f>
        <v>44564</v>
      </c>
      <c r="J133" s="29" t="str">
        <f ca="1">DATEDIF(I133,TODAY(),"y")&amp;"y "&amp;DATEDIF(I133,TODAY(),"ym")&amp;"m"</f>
        <v>4y 9m</v>
      </c>
      <c r="K133" s="31">
        <f>RANK(F133,F$112:F$161)+COUNTIF(F$112:F133,F133)-1</f>
        <v>37</v>
      </c>
      <c r="L133" s="29" t="str">
        <f>IF(E133&gt;1,"Repeat","One-time")</f>
        <v>Repeat</v>
      </c>
      <c r="M133" s="29" t="str">
        <f>IF(F133&gt;=$D$109,"High-Value","Standard")</f>
        <v>Standard</v>
      </c>
    </row>
    <row r="134" spans="1:13">
      <c r="A134" s="19" t="str">
        <f>"CUST"&amp;TEXT(ROWS(A$112:A134),"000")</f>
        <v>CUST023</v>
      </c>
      <c r="B134" s="19" t="str">
        <f>INDEX(rdCust,MATCH(A134,rdCustID,0))</f>
        <v>Paul Baker</v>
      </c>
      <c r="C134" s="29" t="str">
        <f>LEFT(B134,1)&amp;MID(B134,FIND(" ",B134)+1,1)</f>
        <v>PB</v>
      </c>
      <c r="D134" s="19" t="str">
        <f>LEFT(B134,1)&amp;". "&amp;MID(B134,FIND(" ",B134)+1,LEN(B134))</f>
        <v>P. Baker</v>
      </c>
      <c r="E134" s="31">
        <f>COUNTIF(rdCustID,A134)</f>
        <v>8</v>
      </c>
      <c r="F134" s="24">
        <f>SUMIF(rdCustID,A134,rdAmt)</f>
        <v>8309.739999999998</v>
      </c>
      <c r="G134" s="24">
        <f>IF(E134=0,0,F134/E134)</f>
        <v>1038.7174999999997</v>
      </c>
      <c r="H134" s="31">
        <f>SUMIF(rdCustID,A134,rdQty)</f>
        <v>26</v>
      </c>
      <c r="I134" s="23">
        <f>_xlfn.MINIFS(rdSince,rdCustID,A134)</f>
        <v>44425</v>
      </c>
      <c r="J134" s="29" t="str">
        <f ca="1">DATEDIF(I134,TODAY(),"y")&amp;"y "&amp;DATEDIF(I134,TODAY(),"ym")&amp;"m"</f>
        <v>5y 1m</v>
      </c>
      <c r="K134" s="31">
        <f>RANK(F134,F$112:F$161)+COUNTIF(F$112:F134,F134)-1</f>
        <v>5</v>
      </c>
      <c r="L134" s="29" t="str">
        <f>IF(E134&gt;1,"Repeat","One-time")</f>
        <v>Repeat</v>
      </c>
      <c r="M134" s="29" t="str">
        <f>IF(F134&gt;=$D$109,"High-Value","Standard")</f>
        <v>High-Value</v>
      </c>
    </row>
    <row r="135" spans="1:13">
      <c r="A135" s="19" t="str">
        <f>"CUST"&amp;TEXT(ROWS(A$112:A135),"000")</f>
        <v>CUST024</v>
      </c>
      <c r="B135" s="19" t="str">
        <f>INDEX(rdCust,MATCH(A135,rdCustID,0))</f>
        <v>Dorothy Nelson</v>
      </c>
      <c r="C135" s="29" t="str">
        <f>LEFT(B135,1)&amp;MID(B135,FIND(" ",B135)+1,1)</f>
        <v>DN</v>
      </c>
      <c r="D135" s="19" t="str">
        <f>LEFT(B135,1)&amp;". "&amp;MID(B135,FIND(" ",B135)+1,LEN(B135))</f>
        <v>D. Nelson</v>
      </c>
      <c r="E135" s="31">
        <f>COUNTIF(rdCustID,A135)</f>
        <v>6</v>
      </c>
      <c r="F135" s="24">
        <f>SUMIF(rdCustID,A135,rdAmt)</f>
        <v>8269.7900000000009</v>
      </c>
      <c r="G135" s="24">
        <f>IF(E135=0,0,F135/E135)</f>
        <v>1378.2983333333334</v>
      </c>
      <c r="H135" s="31">
        <f>SUMIF(rdCustID,A135,rdQty)</f>
        <v>21</v>
      </c>
      <c r="I135" s="23">
        <f>_xlfn.MINIFS(rdSince,rdCustID,A135)</f>
        <v>44418</v>
      </c>
      <c r="J135" s="29" t="str">
        <f ca="1">DATEDIF(I135,TODAY(),"y")&amp;"y "&amp;DATEDIF(I135,TODAY(),"ym")&amp;"m"</f>
        <v>5y 2m</v>
      </c>
      <c r="K135" s="31">
        <f>RANK(F135,F$112:F$161)+COUNTIF(F$112:F135,F135)-1</f>
        <v>6</v>
      </c>
      <c r="L135" s="29" t="str">
        <f>IF(E135&gt;1,"Repeat","One-time")</f>
        <v>Repeat</v>
      </c>
      <c r="M135" s="29" t="str">
        <f>IF(F135&gt;=$D$109,"High-Value","Standard")</f>
        <v>High-Value</v>
      </c>
    </row>
    <row r="136" spans="1:13">
      <c r="A136" s="19" t="str">
        <f>"CUST"&amp;TEXT(ROWS(A$112:A136),"000")</f>
        <v>CUST025</v>
      </c>
      <c r="B136" s="19" t="str">
        <f>INDEX(rdCust,MATCH(A136,rdCustID,0))</f>
        <v>Mark Carter</v>
      </c>
      <c r="C136" s="29" t="str">
        <f>LEFT(B136,1)&amp;MID(B136,FIND(" ",B136)+1,1)</f>
        <v>MC</v>
      </c>
      <c r="D136" s="19" t="str">
        <f>LEFT(B136,1)&amp;". "&amp;MID(B136,FIND(" ",B136)+1,LEN(B136))</f>
        <v>M. Carter</v>
      </c>
      <c r="E136" s="31">
        <f>COUNTIF(rdCustID,A136)</f>
        <v>12</v>
      </c>
      <c r="F136" s="24">
        <f>SUMIF(rdCustID,A136,rdAmt)</f>
        <v>15659.65</v>
      </c>
      <c r="G136" s="24">
        <f>IF(E136=0,0,F136/E136)</f>
        <v>1304.9708333333333</v>
      </c>
      <c r="H136" s="31">
        <f>SUMIF(rdCustID,A136,rdQty)</f>
        <v>35</v>
      </c>
      <c r="I136" s="23">
        <f>_xlfn.MINIFS(rdSince,rdCustID,A136)</f>
        <v>44436</v>
      </c>
      <c r="J136" s="29" t="str">
        <f ca="1">DATEDIF(I136,TODAY(),"y")&amp;"y "&amp;DATEDIF(I136,TODAY(),"ym")&amp;"m"</f>
        <v>5y 1m</v>
      </c>
      <c r="K136" s="31">
        <f>RANK(F136,F$112:F$161)+COUNTIF(F$112:F136,F136)-1</f>
        <v>1</v>
      </c>
      <c r="L136" s="29" t="str">
        <f>IF(E136&gt;1,"Repeat","One-time")</f>
        <v>Repeat</v>
      </c>
      <c r="M136" s="29" t="str">
        <f>IF(F136&gt;=$D$109,"High-Value","Standard")</f>
        <v>High-Value</v>
      </c>
    </row>
    <row r="137" spans="1:13">
      <c r="A137" s="19" t="str">
        <f>"CUST"&amp;TEXT(ROWS(A$112:A137),"000")</f>
        <v>CUST026</v>
      </c>
      <c r="B137" s="19" t="str">
        <f>INDEX(rdCust,MATCH(A137,rdCustID,0))</f>
        <v>Karen Hill</v>
      </c>
      <c r="C137" s="29" t="str">
        <f>LEFT(B137,1)&amp;MID(B137,FIND(" ",B137)+1,1)</f>
        <v>KH</v>
      </c>
      <c r="D137" s="19" t="str">
        <f>LEFT(B137,1)&amp;". "&amp;MID(B137,FIND(" ",B137)+1,LEN(B137))</f>
        <v>K. Hill</v>
      </c>
      <c r="E137" s="31">
        <f>COUNTIF(rdCustID,A137)</f>
        <v>8</v>
      </c>
      <c r="F137" s="24">
        <f>SUMIF(rdCustID,A137,rdAmt)</f>
        <v>8009.7699999999995</v>
      </c>
      <c r="G137" s="24">
        <f>IF(E137=0,0,F137/E137)</f>
        <v>1001.2212499999999</v>
      </c>
      <c r="H137" s="31">
        <f>SUMIF(rdCustID,A137,rdQty)</f>
        <v>23</v>
      </c>
      <c r="I137" s="23">
        <f>_xlfn.MINIFS(rdSince,rdCustID,A137)</f>
        <v>44465</v>
      </c>
      <c r="J137" s="29" t="str">
        <f ca="1">DATEDIF(I137,TODAY(),"y")&amp;"y "&amp;DATEDIF(I137,TODAY(),"ym")&amp;"m"</f>
        <v>5y 0m</v>
      </c>
      <c r="K137" s="31">
        <f>RANK(F137,F$112:F$161)+COUNTIF(F$112:F137,F137)-1</f>
        <v>7</v>
      </c>
      <c r="L137" s="29" t="str">
        <f>IF(E137&gt;1,"Repeat","One-time")</f>
        <v>Repeat</v>
      </c>
      <c r="M137" s="29" t="str">
        <f>IF(F137&gt;=$D$109,"High-Value","Standard")</f>
        <v>High-Value</v>
      </c>
    </row>
    <row r="138" spans="1:13">
      <c r="A138" s="19" t="str">
        <f>"CUST"&amp;TEXT(ROWS(A$112:A138),"000")</f>
        <v>CUST027</v>
      </c>
      <c r="B138" s="19" t="str">
        <f>INDEX(rdCust,MATCH(A138,rdCustID,0))</f>
        <v>George Adams</v>
      </c>
      <c r="C138" s="29" t="str">
        <f>LEFT(B138,1)&amp;MID(B138,FIND(" ",B138)+1,1)</f>
        <v>GA</v>
      </c>
      <c r="D138" s="19" t="str">
        <f>LEFT(B138,1)&amp;". "&amp;MID(B138,FIND(" ",B138)+1,LEN(B138))</f>
        <v>G. Adams</v>
      </c>
      <c r="E138" s="31">
        <f>COUNTIF(rdCustID,A138)</f>
        <v>3</v>
      </c>
      <c r="F138" s="24">
        <f>SUMIF(rdCustID,A138,rdAmt)</f>
        <v>3779.93</v>
      </c>
      <c r="G138" s="24">
        <f>IF(E138=0,0,F138/E138)</f>
        <v>1259.9766666666667</v>
      </c>
      <c r="H138" s="31">
        <f>SUMIF(rdCustID,A138,rdQty)</f>
        <v>7</v>
      </c>
      <c r="I138" s="23">
        <f>_xlfn.MINIFS(rdSince,rdCustID,A138)</f>
        <v>44920</v>
      </c>
      <c r="J138" s="29" t="str">
        <f ca="1">DATEDIF(I138,TODAY(),"y")&amp;"y "&amp;DATEDIF(I138,TODAY(),"ym")&amp;"m"</f>
        <v>3y 9m</v>
      </c>
      <c r="K138" s="31">
        <f>RANK(F138,F$112:F$161)+COUNTIF(F$112:F138,F138)-1</f>
        <v>28</v>
      </c>
      <c r="L138" s="29" t="str">
        <f>IF(E138&gt;1,"Repeat","One-time")</f>
        <v>Repeat</v>
      </c>
      <c r="M138" s="29" t="str">
        <f>IF(F138&gt;=$D$109,"High-Value","Standard")</f>
        <v>Standard</v>
      </c>
    </row>
    <row r="139" spans="1:13">
      <c r="A139" s="19" t="str">
        <f>"CUST"&amp;TEXT(ROWS(A$112:A139),"000")</f>
        <v>CUST028</v>
      </c>
      <c r="B139" s="19" t="str">
        <f>INDEX(rdCust,MATCH(A139,rdCustID,0))</f>
        <v>Betty Campbell</v>
      </c>
      <c r="C139" s="29" t="str">
        <f>LEFT(B139,1)&amp;MID(B139,FIND(" ",B139)+1,1)</f>
        <v>BC</v>
      </c>
      <c r="D139" s="19" t="str">
        <f>LEFT(B139,1)&amp;". "&amp;MID(B139,FIND(" ",B139)+1,LEN(B139))</f>
        <v>B. Campbell</v>
      </c>
      <c r="E139" s="31">
        <f>COUNTIF(rdCustID,A139)</f>
        <v>5</v>
      </c>
      <c r="F139" s="24">
        <f>SUMIF(rdCustID,A139,rdAmt)</f>
        <v>5649.84</v>
      </c>
      <c r="G139" s="24">
        <f>IF(E139=0,0,F139/E139)</f>
        <v>1129.9680000000001</v>
      </c>
      <c r="H139" s="31">
        <f>SUMIF(rdCustID,A139,rdQty)</f>
        <v>16</v>
      </c>
      <c r="I139" s="23">
        <f>_xlfn.MINIFS(rdSince,rdCustID,A139)</f>
        <v>44460</v>
      </c>
      <c r="J139" s="29" t="str">
        <f ca="1">DATEDIF(I139,TODAY(),"y")&amp;"y "&amp;DATEDIF(I139,TODAY(),"ym")&amp;"m"</f>
        <v>5y 0m</v>
      </c>
      <c r="K139" s="31">
        <f>RANK(F139,F$112:F$161)+COUNTIF(F$112:F139,F139)-1</f>
        <v>16</v>
      </c>
      <c r="L139" s="29" t="str">
        <f>IF(E139&gt;1,"Repeat","One-time")</f>
        <v>Repeat</v>
      </c>
      <c r="M139" s="29" t="str">
        <f>IF(F139&gt;=$D$109,"High-Value","Standard")</f>
        <v>Standard</v>
      </c>
    </row>
    <row r="140" spans="1:13">
      <c r="A140" s="19" t="str">
        <f>"CUST"&amp;TEXT(ROWS(A$112:A140),"000")</f>
        <v>CUST029</v>
      </c>
      <c r="B140" s="19" t="str">
        <f>INDEX(rdCust,MATCH(A140,rdCustID,0))</f>
        <v>Edward Mitchell</v>
      </c>
      <c r="C140" s="29" t="str">
        <f>LEFT(B140,1)&amp;MID(B140,FIND(" ",B140)+1,1)</f>
        <v>EM</v>
      </c>
      <c r="D140" s="19" t="str">
        <f>LEFT(B140,1)&amp;". "&amp;MID(B140,FIND(" ",B140)+1,LEN(B140))</f>
        <v>E. Mitchell</v>
      </c>
      <c r="E140" s="31">
        <f>COUNTIF(rdCustID,A140)</f>
        <v>6</v>
      </c>
      <c r="F140" s="24">
        <f>SUMIF(rdCustID,A140,rdAmt)</f>
        <v>11919.769999999999</v>
      </c>
      <c r="G140" s="24">
        <f>IF(E140=0,0,F140/E140)</f>
        <v>1986.6283333333331</v>
      </c>
      <c r="H140" s="31">
        <f>SUMIF(rdCustID,A140,rdQty)</f>
        <v>23</v>
      </c>
      <c r="I140" s="23">
        <f>_xlfn.MINIFS(rdSince,rdCustID,A140)</f>
        <v>44427</v>
      </c>
      <c r="J140" s="29" t="str">
        <f ca="1">DATEDIF(I140,TODAY(),"y")&amp;"y "&amp;DATEDIF(I140,TODAY(),"ym")&amp;"m"</f>
        <v>5y 1m</v>
      </c>
      <c r="K140" s="31">
        <f>RANK(F140,F$112:F$161)+COUNTIF(F$112:F140,F140)-1</f>
        <v>2</v>
      </c>
      <c r="L140" s="29" t="str">
        <f>IF(E140&gt;1,"Repeat","One-time")</f>
        <v>Repeat</v>
      </c>
      <c r="M140" s="29" t="str">
        <f>IF(F140&gt;=$D$109,"High-Value","Standard")</f>
        <v>High-Value</v>
      </c>
    </row>
    <row r="141" spans="1:13">
      <c r="A141" s="19" t="str">
        <f>"CUST"&amp;TEXT(ROWS(A$112:A141),"000")</f>
        <v>CUST030</v>
      </c>
      <c r="B141" s="19" t="str">
        <f>INDEX(rdCust,MATCH(A141,rdCustID,0))</f>
        <v>Helen Roberts</v>
      </c>
      <c r="C141" s="29" t="str">
        <f>LEFT(B141,1)&amp;MID(B141,FIND(" ",B141)+1,1)</f>
        <v>HR</v>
      </c>
      <c r="D141" s="19" t="str">
        <f>LEFT(B141,1)&amp;". "&amp;MID(B141,FIND(" ",B141)+1,LEN(B141))</f>
        <v>H. Roberts</v>
      </c>
      <c r="E141" s="31">
        <f>COUNTIF(rdCustID,A141)</f>
        <v>7</v>
      </c>
      <c r="F141" s="24">
        <f>SUMIF(rdCustID,A141,rdAmt)</f>
        <v>6459.79</v>
      </c>
      <c r="G141" s="24">
        <f>IF(E141=0,0,F141/E141)</f>
        <v>922.8271428571428</v>
      </c>
      <c r="H141" s="31">
        <f>SUMIF(rdCustID,A141,rdQty)</f>
        <v>21</v>
      </c>
      <c r="I141" s="23">
        <f>_xlfn.MINIFS(rdSince,rdCustID,A141)</f>
        <v>44523</v>
      </c>
      <c r="J141" s="29" t="str">
        <f ca="1">DATEDIF(I141,TODAY(),"y")&amp;"y "&amp;DATEDIF(I141,TODAY(),"ym")&amp;"m"</f>
        <v>4y 10m</v>
      </c>
      <c r="K141" s="31">
        <f>RANK(F141,F$112:F$161)+COUNTIF(F$112:F141,F141)-1</f>
        <v>11</v>
      </c>
      <c r="L141" s="29" t="str">
        <f>IF(E141&gt;1,"Repeat","One-time")</f>
        <v>Repeat</v>
      </c>
      <c r="M141" s="29" t="str">
        <f>IF(F141&gt;=$D$109,"High-Value","Standard")</f>
        <v>Standard</v>
      </c>
    </row>
    <row r="142" spans="1:13">
      <c r="A142" s="19" t="str">
        <f>"CUST"&amp;TEXT(ROWS(A$112:A142),"000")</f>
        <v>CUST031</v>
      </c>
      <c r="B142" s="19" t="str">
        <f>INDEX(rdCust,MATCH(A142,rdCustID,0))</f>
        <v>Steven Turner</v>
      </c>
      <c r="C142" s="29" t="str">
        <f>LEFT(B142,1)&amp;MID(B142,FIND(" ",B142)+1,1)</f>
        <v>ST</v>
      </c>
      <c r="D142" s="19" t="str">
        <f>LEFT(B142,1)&amp;". "&amp;MID(B142,FIND(" ",B142)+1,LEN(B142))</f>
        <v>S. Turner</v>
      </c>
      <c r="E142" s="31">
        <f>COUNTIF(rdCustID,A142)</f>
        <v>6</v>
      </c>
      <c r="F142" s="24">
        <f>SUMIF(rdCustID,A142,rdAmt)</f>
        <v>2649.83</v>
      </c>
      <c r="G142" s="24">
        <f>IF(E142=0,0,F142/E142)</f>
        <v>441.63833333333332</v>
      </c>
      <c r="H142" s="31">
        <f>SUMIF(rdCustID,A142,rdQty)</f>
        <v>17</v>
      </c>
      <c r="I142" s="23">
        <f>_xlfn.MINIFS(rdSince,rdCustID,A142)</f>
        <v>44536</v>
      </c>
      <c r="J142" s="29" t="str">
        <f ca="1">DATEDIF(I142,TODAY(),"y")&amp;"y "&amp;DATEDIF(I142,TODAY(),"ym")&amp;"m"</f>
        <v>4y 10m</v>
      </c>
      <c r="K142" s="31">
        <f>RANK(F142,F$112:F$161)+COUNTIF(F$112:F142,F142)-1</f>
        <v>34</v>
      </c>
      <c r="L142" s="29" t="str">
        <f>IF(E142&gt;1,"Repeat","One-time")</f>
        <v>Repeat</v>
      </c>
      <c r="M142" s="29" t="str">
        <f>IF(F142&gt;=$D$109,"High-Value","Standard")</f>
        <v>Standard</v>
      </c>
    </row>
    <row r="143" spans="1:13">
      <c r="A143" s="19" t="str">
        <f>"CUST"&amp;TEXT(ROWS(A$112:A143),"000")</f>
        <v>CUST032</v>
      </c>
      <c r="B143" s="19" t="str">
        <f>INDEX(rdCust,MATCH(A143,rdCustID,0))</f>
        <v>Sandra Phillips</v>
      </c>
      <c r="C143" s="29" t="str">
        <f>LEFT(B143,1)&amp;MID(B143,FIND(" ",B143)+1,1)</f>
        <v>SP</v>
      </c>
      <c r="D143" s="19" t="str">
        <f>LEFT(B143,1)&amp;". "&amp;MID(B143,FIND(" ",B143)+1,LEN(B143))</f>
        <v>S. Phillips</v>
      </c>
      <c r="E143" s="31">
        <f>COUNTIF(rdCustID,A143)</f>
        <v>5</v>
      </c>
      <c r="F143" s="24">
        <f>SUMIF(rdCustID,A143,rdAmt)</f>
        <v>6349.83</v>
      </c>
      <c r="G143" s="24">
        <f>IF(E143=0,0,F143/E143)</f>
        <v>1269.9659999999999</v>
      </c>
      <c r="H143" s="31">
        <f>SUMIF(rdCustID,A143,rdQty)</f>
        <v>17</v>
      </c>
      <c r="I143" s="23">
        <f>_xlfn.MINIFS(rdSince,rdCustID,A143)</f>
        <v>44421</v>
      </c>
      <c r="J143" s="29" t="str">
        <f ca="1">DATEDIF(I143,TODAY(),"y")&amp;"y "&amp;DATEDIF(I143,TODAY(),"ym")&amp;"m"</f>
        <v>5y 2m</v>
      </c>
      <c r="K143" s="31">
        <f>RANK(F143,F$112:F$161)+COUNTIF(F$112:F143,F143)-1</f>
        <v>13</v>
      </c>
      <c r="L143" s="29" t="str">
        <f>IF(E143&gt;1,"Repeat","One-time")</f>
        <v>Repeat</v>
      </c>
      <c r="M143" s="29" t="str">
        <f>IF(F143&gt;=$D$109,"High-Value","Standard")</f>
        <v>Standard</v>
      </c>
    </row>
    <row r="144" spans="1:13">
      <c r="A144" s="19" t="str">
        <f>"CUST"&amp;TEXT(ROWS(A$112:A144),"000")</f>
        <v>CUST033</v>
      </c>
      <c r="B144" s="19" t="str">
        <f>INDEX(rdCust,MATCH(A144,rdCustID,0))</f>
        <v>Frank Torres</v>
      </c>
      <c r="C144" s="29" t="str">
        <f>LEFT(B144,1)&amp;MID(B144,FIND(" ",B144)+1,1)</f>
        <v>FT</v>
      </c>
      <c r="D144" s="19" t="str">
        <f>LEFT(B144,1)&amp;". "&amp;MID(B144,FIND(" ",B144)+1,LEN(B144))</f>
        <v>F. Torres</v>
      </c>
      <c r="E144" s="31">
        <f>COUNTIF(rdCustID,A144)</f>
        <v>5</v>
      </c>
      <c r="F144" s="24">
        <f>SUMIF(rdCustID,A144,rdAmt)</f>
        <v>1479.91</v>
      </c>
      <c r="G144" s="24">
        <f>IF(E144=0,0,F144/E144)</f>
        <v>295.98200000000003</v>
      </c>
      <c r="H144" s="31">
        <f>SUMIF(rdCustID,A144,rdQty)</f>
        <v>9</v>
      </c>
      <c r="I144" s="23">
        <f>_xlfn.MINIFS(rdSince,rdCustID,A144)</f>
        <v>44541</v>
      </c>
      <c r="J144" s="29" t="str">
        <f ca="1">DATEDIF(I144,TODAY(),"y")&amp;"y "&amp;DATEDIF(I144,TODAY(),"ym")&amp;"m"</f>
        <v>4y 10m</v>
      </c>
      <c r="K144" s="31">
        <f>RANK(F144,F$112:F$161)+COUNTIF(F$112:F144,F144)-1</f>
        <v>42</v>
      </c>
      <c r="L144" s="29" t="str">
        <f>IF(E144&gt;1,"Repeat","One-time")</f>
        <v>Repeat</v>
      </c>
      <c r="M144" s="29" t="str">
        <f>IF(F144&gt;=$D$109,"High-Value","Standard")</f>
        <v>Standard</v>
      </c>
    </row>
    <row r="145" spans="1:13">
      <c r="A145" s="19" t="str">
        <f>"CUST"&amp;TEXT(ROWS(A$112:A145),"000")</f>
        <v>CUST034</v>
      </c>
      <c r="B145" s="19" t="str">
        <f>INDEX(rdCust,MATCH(A145,rdCustID,0))</f>
        <v>Carol Evans</v>
      </c>
      <c r="C145" s="29" t="str">
        <f>LEFT(B145,1)&amp;MID(B145,FIND(" ",B145)+1,1)</f>
        <v>CE</v>
      </c>
      <c r="D145" s="19" t="str">
        <f>LEFT(B145,1)&amp;". "&amp;MID(B145,FIND(" ",B145)+1,LEN(B145))</f>
        <v>C. Evans</v>
      </c>
      <c r="E145" s="31">
        <f>COUNTIF(rdCustID,A145)</f>
        <v>3</v>
      </c>
      <c r="F145" s="24">
        <f>SUMIF(rdCustID,A145,rdAmt)</f>
        <v>1149.93</v>
      </c>
      <c r="G145" s="24">
        <f>IF(E145=0,0,F145/E145)</f>
        <v>383.31</v>
      </c>
      <c r="H145" s="31">
        <f>SUMIF(rdCustID,A145,rdQty)</f>
        <v>7</v>
      </c>
      <c r="I145" s="23">
        <f>_xlfn.MINIFS(rdSince,rdCustID,A145)</f>
        <v>44685</v>
      </c>
      <c r="J145" s="29" t="str">
        <f ca="1">DATEDIF(I145,TODAY(),"y")&amp;"y "&amp;DATEDIF(I145,TODAY(),"ym")&amp;"m"</f>
        <v>4y 5m</v>
      </c>
      <c r="K145" s="31">
        <f>RANK(F145,F$112:F$161)+COUNTIF(F$112:F145,F145)-1</f>
        <v>45</v>
      </c>
      <c r="L145" s="29" t="str">
        <f>IF(E145&gt;1,"Repeat","One-time")</f>
        <v>Repeat</v>
      </c>
      <c r="M145" s="29" t="str">
        <f>IF(F145&gt;=$D$109,"High-Value","Standard")</f>
        <v>Standard</v>
      </c>
    </row>
    <row r="146" spans="1:13">
      <c r="A146" s="19" t="str">
        <f>"CUST"&amp;TEXT(ROWS(A$112:A146),"000")</f>
        <v>CUST035</v>
      </c>
      <c r="B146" s="19" t="str">
        <f>INDEX(rdCust,MATCH(A146,rdCustID,0))</f>
        <v>Harry Morgan</v>
      </c>
      <c r="C146" s="29" t="str">
        <f>LEFT(B146,1)&amp;MID(B146,FIND(" ",B146)+1,1)</f>
        <v>HM</v>
      </c>
      <c r="D146" s="19" t="str">
        <f>LEFT(B146,1)&amp;". "&amp;MID(B146,FIND(" ",B146)+1,LEN(B146))</f>
        <v>H. Morgan</v>
      </c>
      <c r="E146" s="31">
        <f>COUNTIF(rdCustID,A146)</f>
        <v>4</v>
      </c>
      <c r="F146" s="24">
        <f>SUMIF(rdCustID,A146,rdAmt)</f>
        <v>5519.8899999999994</v>
      </c>
      <c r="G146" s="24">
        <f>IF(E146=0,0,F146/E146)</f>
        <v>1379.9724999999999</v>
      </c>
      <c r="H146" s="31">
        <f>SUMIF(rdCustID,A146,rdQty)</f>
        <v>11</v>
      </c>
      <c r="I146" s="23">
        <f>_xlfn.MINIFS(rdSince,rdCustID,A146)</f>
        <v>44572</v>
      </c>
      <c r="J146" s="29" t="str">
        <f ca="1">DATEDIF(I146,TODAY(),"y")&amp;"y "&amp;DATEDIF(I146,TODAY(),"ym")&amp;"m"</f>
        <v>4y 9m</v>
      </c>
      <c r="K146" s="31">
        <f>RANK(F146,F$112:F$161)+COUNTIF(F$112:F146,F146)-1</f>
        <v>18</v>
      </c>
      <c r="L146" s="29" t="str">
        <f>IF(E146&gt;1,"Repeat","One-time")</f>
        <v>Repeat</v>
      </c>
      <c r="M146" s="29" t="str">
        <f>IF(F146&gt;=$D$109,"High-Value","Standard")</f>
        <v>Standard</v>
      </c>
    </row>
    <row r="147" spans="1:13">
      <c r="A147" s="19" t="str">
        <f>"CUST"&amp;TEXT(ROWS(A$112:A147),"000")</f>
        <v>CUST036</v>
      </c>
      <c r="B147" s="19" t="str">
        <f>INDEX(rdCust,MATCH(A147,rdCustID,0))</f>
        <v>Nancy Collins</v>
      </c>
      <c r="C147" s="29" t="str">
        <f>LEFT(B147,1)&amp;MID(B147,FIND(" ",B147)+1,1)</f>
        <v>NC</v>
      </c>
      <c r="D147" s="19" t="str">
        <f>LEFT(B147,1)&amp;". "&amp;MID(B147,FIND(" ",B147)+1,LEN(B147))</f>
        <v>N. Collins</v>
      </c>
      <c r="E147" s="31">
        <f>COUNTIF(rdCustID,A147)</f>
        <v>6</v>
      </c>
      <c r="F147" s="24">
        <f>SUMIF(rdCustID,A147,rdAmt)</f>
        <v>4189.7700000000004</v>
      </c>
      <c r="G147" s="24">
        <f>IF(E147=0,0,F147/E147)</f>
        <v>698.29500000000007</v>
      </c>
      <c r="H147" s="31">
        <f>SUMIF(rdCustID,A147,rdQty)</f>
        <v>23</v>
      </c>
      <c r="I147" s="23">
        <f>_xlfn.MINIFS(rdSince,rdCustID,A147)</f>
        <v>44396</v>
      </c>
      <c r="J147" s="29" t="str">
        <f ca="1">DATEDIF(I147,TODAY(),"y")&amp;"y "&amp;DATEDIF(I147,TODAY(),"ym")&amp;"m"</f>
        <v>5y 2m</v>
      </c>
      <c r="K147" s="31">
        <f>RANK(F147,F$112:F$161)+COUNTIF(F$112:F147,F147)-1</f>
        <v>27</v>
      </c>
      <c r="L147" s="29" t="str">
        <f>IF(E147&gt;1,"Repeat","One-time")</f>
        <v>Repeat</v>
      </c>
      <c r="M147" s="29" t="str">
        <f>IF(F147&gt;=$D$109,"High-Value","Standard")</f>
        <v>Standard</v>
      </c>
    </row>
    <row r="148" spans="1:13">
      <c r="A148" s="19" t="str">
        <f>"CUST"&amp;TEXT(ROWS(A$112:A148),"000")</f>
        <v>CUST037</v>
      </c>
      <c r="B148" s="19" t="str">
        <f>INDEX(rdCust,MATCH(A148,rdCustID,0))</f>
        <v>Arthur Edwards</v>
      </c>
      <c r="C148" s="29" t="str">
        <f>LEFT(B148,1)&amp;MID(B148,FIND(" ",B148)+1,1)</f>
        <v>AE</v>
      </c>
      <c r="D148" s="19" t="str">
        <f>LEFT(B148,1)&amp;". "&amp;MID(B148,FIND(" ",B148)+1,LEN(B148))</f>
        <v>A. Edwards</v>
      </c>
      <c r="E148" s="31">
        <f>COUNTIF(rdCustID,A148)</f>
        <v>3</v>
      </c>
      <c r="F148" s="24">
        <f>SUMIF(rdCustID,A148,rdAmt)</f>
        <v>1559.94</v>
      </c>
      <c r="G148" s="24">
        <f>IF(E148=0,0,F148/E148)</f>
        <v>519.98</v>
      </c>
      <c r="H148" s="31">
        <f>SUMIF(rdCustID,A148,rdQty)</f>
        <v>6</v>
      </c>
      <c r="I148" s="23">
        <f>_xlfn.MINIFS(rdSince,rdCustID,A148)</f>
        <v>44412</v>
      </c>
      <c r="J148" s="29" t="str">
        <f ca="1">DATEDIF(I148,TODAY(),"y")&amp;"y "&amp;DATEDIF(I148,TODAY(),"ym")&amp;"m"</f>
        <v>5y 2m</v>
      </c>
      <c r="K148" s="31">
        <f>RANK(F148,F$112:F$161)+COUNTIF(F$112:F148,F148)-1</f>
        <v>41</v>
      </c>
      <c r="L148" s="29" t="str">
        <f>IF(E148&gt;1,"Repeat","One-time")</f>
        <v>Repeat</v>
      </c>
      <c r="M148" s="29" t="str">
        <f>IF(F148&gt;=$D$109,"High-Value","Standard")</f>
        <v>Standard</v>
      </c>
    </row>
    <row r="149" spans="1:13">
      <c r="A149" s="19" t="str">
        <f>"CUST"&amp;TEXT(ROWS(A$112:A149),"000")</f>
        <v>CUST038</v>
      </c>
      <c r="B149" s="19" t="str">
        <f>INDEX(rdCust,MATCH(A149,rdCustID,0))</f>
        <v>Michelle Rogers</v>
      </c>
      <c r="C149" s="29" t="str">
        <f>LEFT(B149,1)&amp;MID(B149,FIND(" ",B149)+1,1)</f>
        <v>MR</v>
      </c>
      <c r="D149" s="19" t="str">
        <f>LEFT(B149,1)&amp;". "&amp;MID(B149,FIND(" ",B149)+1,LEN(B149))</f>
        <v>M. Rogers</v>
      </c>
      <c r="E149" s="31">
        <f>COUNTIF(rdCustID,A149)</f>
        <v>2</v>
      </c>
      <c r="F149" s="24">
        <f>SUMIF(rdCustID,A149,rdAmt)</f>
        <v>4199.9399999999996</v>
      </c>
      <c r="G149" s="24">
        <f>IF(E149=0,0,F149/E149)</f>
        <v>2099.9699999999998</v>
      </c>
      <c r="H149" s="31">
        <f>SUMIF(rdCustID,A149,rdQty)</f>
        <v>6</v>
      </c>
      <c r="I149" s="23">
        <f>_xlfn.MINIFS(rdSince,rdCustID,A149)</f>
        <v>44577</v>
      </c>
      <c r="J149" s="29" t="str">
        <f ca="1">DATEDIF(I149,TODAY(),"y")&amp;"y "&amp;DATEDIF(I149,TODAY(),"ym")&amp;"m"</f>
        <v>4y 8m</v>
      </c>
      <c r="K149" s="31">
        <f>RANK(F149,F$112:F$161)+COUNTIF(F$112:F149,F149)-1</f>
        <v>26</v>
      </c>
      <c r="L149" s="29" t="str">
        <f>IF(E149&gt;1,"Repeat","One-time")</f>
        <v>Repeat</v>
      </c>
      <c r="M149" s="29" t="str">
        <f>IF(F149&gt;=$D$109,"High-Value","Standard")</f>
        <v>Standard</v>
      </c>
    </row>
    <row r="150" spans="1:13">
      <c r="A150" s="19" t="str">
        <f>"CUST"&amp;TEXT(ROWS(A$112:A150),"000")</f>
        <v>CUST039</v>
      </c>
      <c r="B150" s="19" t="str">
        <f>INDEX(rdCust,MATCH(A150,rdCustID,0))</f>
        <v>Lawrence Reed</v>
      </c>
      <c r="C150" s="29" t="str">
        <f>LEFT(B150,1)&amp;MID(B150,FIND(" ",B150)+1,1)</f>
        <v>LR</v>
      </c>
      <c r="D150" s="19" t="str">
        <f>LEFT(B150,1)&amp;". "&amp;MID(B150,FIND(" ",B150)+1,LEN(B150))</f>
        <v>L. Reed</v>
      </c>
      <c r="E150" s="31">
        <f>COUNTIF(rdCustID,A150)</f>
        <v>8</v>
      </c>
      <c r="F150" s="24">
        <f>SUMIF(rdCustID,A150,rdAmt)</f>
        <v>6989.7699999999986</v>
      </c>
      <c r="G150" s="24">
        <f>IF(E150=0,0,F150/E150)</f>
        <v>873.72124999999983</v>
      </c>
      <c r="H150" s="31">
        <f>SUMIF(rdCustID,A150,rdQty)</f>
        <v>23</v>
      </c>
      <c r="I150" s="23">
        <f>_xlfn.MINIFS(rdSince,rdCustID,A150)</f>
        <v>44544</v>
      </c>
      <c r="J150" s="29" t="str">
        <f ca="1">DATEDIF(I150,TODAY(),"y")&amp;"y "&amp;DATEDIF(I150,TODAY(),"ym")&amp;"m"</f>
        <v>4y 10m</v>
      </c>
      <c r="K150" s="31">
        <f>RANK(F150,F$112:F$161)+COUNTIF(F$112:F150,F150)-1</f>
        <v>9</v>
      </c>
      <c r="L150" s="29" t="str">
        <f>IF(E150&gt;1,"Repeat","One-time")</f>
        <v>Repeat</v>
      </c>
      <c r="M150" s="29" t="str">
        <f>IF(F150&gt;=$D$109,"High-Value","Standard")</f>
        <v>High-Value</v>
      </c>
    </row>
    <row r="151" spans="1:13">
      <c r="A151" s="19" t="str">
        <f>"CUST"&amp;TEXT(ROWS(A$112:A151),"000")</f>
        <v>CUST040</v>
      </c>
      <c r="B151" s="19" t="str">
        <f>INDEX(rdCust,MATCH(A151,rdCustID,0))</f>
        <v>Sharon Butler</v>
      </c>
      <c r="C151" s="29" t="str">
        <f>LEFT(B151,1)&amp;MID(B151,FIND(" ",B151)+1,1)</f>
        <v>SB</v>
      </c>
      <c r="D151" s="19" t="str">
        <f>LEFT(B151,1)&amp;". "&amp;MID(B151,FIND(" ",B151)+1,LEN(B151))</f>
        <v>S. Butler</v>
      </c>
      <c r="E151" s="31">
        <f>COUNTIF(rdCustID,A151)</f>
        <v>6</v>
      </c>
      <c r="F151" s="24">
        <f>SUMIF(rdCustID,A151,rdAmt)</f>
        <v>5619.869999999999</v>
      </c>
      <c r="G151" s="24">
        <f>IF(E151=0,0,F151/E151)</f>
        <v>936.64499999999987</v>
      </c>
      <c r="H151" s="31">
        <f>SUMIF(rdCustID,A151,rdQty)</f>
        <v>13</v>
      </c>
      <c r="I151" s="23">
        <f>_xlfn.MINIFS(rdSince,rdCustID,A151)</f>
        <v>44876</v>
      </c>
      <c r="J151" s="29" t="str">
        <f ca="1">DATEDIF(I151,TODAY(),"y")&amp;"y "&amp;DATEDIF(I151,TODAY(),"ym")&amp;"m"</f>
        <v>3y 11m</v>
      </c>
      <c r="K151" s="31">
        <f>RANK(F151,F$112:F$161)+COUNTIF(F$112:F151,F151)-1</f>
        <v>17</v>
      </c>
      <c r="L151" s="29" t="str">
        <f>IF(E151&gt;1,"Repeat","One-time")</f>
        <v>Repeat</v>
      </c>
      <c r="M151" s="29" t="str">
        <f>IF(F151&gt;=$D$109,"High-Value","Standard")</f>
        <v>Standard</v>
      </c>
    </row>
    <row r="152" spans="1:13">
      <c r="A152" s="19" t="str">
        <f>"CUST"&amp;TEXT(ROWS(A$112:A152),"000")</f>
        <v>CUST041</v>
      </c>
      <c r="B152" s="19" t="str">
        <f>INDEX(rdCust,MATCH(A152,rdCustID,0))</f>
        <v>Peter Richardson</v>
      </c>
      <c r="C152" s="29" t="str">
        <f>LEFT(B152,1)&amp;MID(B152,FIND(" ",B152)+1,1)</f>
        <v>PR</v>
      </c>
      <c r="D152" s="19" t="str">
        <f>LEFT(B152,1)&amp;". "&amp;MID(B152,FIND(" ",B152)+1,LEN(B152))</f>
        <v>P. Richardson</v>
      </c>
      <c r="E152" s="31">
        <f>COUNTIF(rdCustID,A152)</f>
        <v>5</v>
      </c>
      <c r="F152" s="24">
        <f>SUMIF(rdCustID,A152,rdAmt)</f>
        <v>5949.85</v>
      </c>
      <c r="G152" s="24">
        <f>IF(E152=0,0,F152/E152)</f>
        <v>1189.97</v>
      </c>
      <c r="H152" s="31">
        <f>SUMIF(rdCustID,A152,rdQty)</f>
        <v>15</v>
      </c>
      <c r="I152" s="23">
        <f>_xlfn.MINIFS(rdSince,rdCustID,A152)</f>
        <v>44406</v>
      </c>
      <c r="J152" s="29" t="str">
        <f ca="1">DATEDIF(I152,TODAY(),"y")&amp;"y "&amp;DATEDIF(I152,TODAY(),"ym")&amp;"m"</f>
        <v>5y 2m</v>
      </c>
      <c r="K152" s="31">
        <f>RANK(F152,F$112:F$161)+COUNTIF(F$112:F152,F152)-1</f>
        <v>15</v>
      </c>
      <c r="L152" s="29" t="str">
        <f>IF(E152&gt;1,"Repeat","One-time")</f>
        <v>Repeat</v>
      </c>
      <c r="M152" s="29" t="str">
        <f>IF(F152&gt;=$D$109,"High-Value","Standard")</f>
        <v>Standard</v>
      </c>
    </row>
    <row r="153" spans="1:13">
      <c r="A153" s="19" t="str">
        <f>"CUST"&amp;TEXT(ROWS(A$112:A153),"000")</f>
        <v>CUST042</v>
      </c>
      <c r="B153" s="19" t="str">
        <f>INDEX(rdCust,MATCH(A153,rdCustID,0))</f>
        <v>Ruth Brooks</v>
      </c>
      <c r="C153" s="29" t="str">
        <f>LEFT(B153,1)&amp;MID(B153,FIND(" ",B153)+1,1)</f>
        <v>RB</v>
      </c>
      <c r="D153" s="19" t="str">
        <f>LEFT(B153,1)&amp;". "&amp;MID(B153,FIND(" ",B153)+1,LEN(B153))</f>
        <v>R. Brooks</v>
      </c>
      <c r="E153" s="31">
        <f>COUNTIF(rdCustID,A153)</f>
        <v>3</v>
      </c>
      <c r="F153" s="24">
        <f>SUMIF(rdCustID,A153,rdAmt)</f>
        <v>1749.92</v>
      </c>
      <c r="G153" s="24">
        <f>IF(E153=0,0,F153/E153)</f>
        <v>583.30666666666673</v>
      </c>
      <c r="H153" s="31">
        <f>SUMIF(rdCustID,A153,rdQty)</f>
        <v>8</v>
      </c>
      <c r="I153" s="23">
        <f>_xlfn.MINIFS(rdSince,rdCustID,A153)</f>
        <v>44564</v>
      </c>
      <c r="J153" s="29" t="str">
        <f ca="1">DATEDIF(I153,TODAY(),"y")&amp;"y "&amp;DATEDIF(I153,TODAY(),"ym")&amp;"m"</f>
        <v>4y 9m</v>
      </c>
      <c r="K153" s="31">
        <f>RANK(F153,F$112:F$161)+COUNTIF(F$112:F153,F153)-1</f>
        <v>40</v>
      </c>
      <c r="L153" s="29" t="str">
        <f>IF(E153&gt;1,"Repeat","One-time")</f>
        <v>Repeat</v>
      </c>
      <c r="M153" s="29" t="str">
        <f>IF(F153&gt;=$D$109,"High-Value","Standard")</f>
        <v>Standard</v>
      </c>
    </row>
    <row r="154" spans="1:13">
      <c r="A154" s="19" t="str">
        <f>"CUST"&amp;TEXT(ROWS(A$112:A154),"000")</f>
        <v>CUST043</v>
      </c>
      <c r="B154" s="19" t="str">
        <f>INDEX(rdCust,MATCH(A154,rdCustID,0))</f>
        <v>Dennis Gray</v>
      </c>
      <c r="C154" s="29" t="str">
        <f>LEFT(B154,1)&amp;MID(B154,FIND(" ",B154)+1,1)</f>
        <v>DG</v>
      </c>
      <c r="D154" s="19" t="str">
        <f>LEFT(B154,1)&amp;". "&amp;MID(B154,FIND(" ",B154)+1,LEN(B154))</f>
        <v>D. Gray</v>
      </c>
      <c r="E154" s="31">
        <f>COUNTIF(rdCustID,A154)</f>
        <v>2</v>
      </c>
      <c r="F154" s="24">
        <f>SUMIF(rdCustID,A154,rdAmt)</f>
        <v>479.91999999999996</v>
      </c>
      <c r="G154" s="24">
        <f>IF(E154=0,0,F154/E154)</f>
        <v>239.95999999999998</v>
      </c>
      <c r="H154" s="31">
        <f>SUMIF(rdCustID,A154,rdQty)</f>
        <v>8</v>
      </c>
      <c r="I154" s="23">
        <f>_xlfn.MINIFS(rdSince,rdCustID,A154)</f>
        <v>45291</v>
      </c>
      <c r="J154" s="29" t="str">
        <f ca="1">DATEDIF(I154,TODAY(),"y")&amp;"y "&amp;DATEDIF(I154,TODAY(),"ym")&amp;"m"</f>
        <v>2y 9m</v>
      </c>
      <c r="K154" s="31">
        <f>RANK(F154,F$112:F$161)+COUNTIF(F$112:F154,F154)-1</f>
        <v>48</v>
      </c>
      <c r="L154" s="29" t="str">
        <f>IF(E154&gt;1,"Repeat","One-time")</f>
        <v>Repeat</v>
      </c>
      <c r="M154" s="29" t="str">
        <f>IF(F154&gt;=$D$109,"High-Value","Standard")</f>
        <v>Standard</v>
      </c>
    </row>
    <row r="155" spans="1:13">
      <c r="A155" s="19" t="str">
        <f>"CUST"&amp;TEXT(ROWS(A$112:A155),"000")</f>
        <v>CUST044</v>
      </c>
      <c r="B155" s="19" t="str">
        <f>INDEX(rdCust,MATCH(A155,rdCustID,0))</f>
        <v>Cynthia Price</v>
      </c>
      <c r="C155" s="29" t="str">
        <f>LEFT(B155,1)&amp;MID(B155,FIND(" ",B155)+1,1)</f>
        <v>CP</v>
      </c>
      <c r="D155" s="19" t="str">
        <f>LEFT(B155,1)&amp;". "&amp;MID(B155,FIND(" ",B155)+1,LEN(B155))</f>
        <v>C. Price</v>
      </c>
      <c r="E155" s="31">
        <f>COUNTIF(rdCustID,A155)</f>
        <v>5</v>
      </c>
      <c r="F155" s="24">
        <f>SUMIF(rdCustID,A155,rdAmt)</f>
        <v>3769.8300000000004</v>
      </c>
      <c r="G155" s="24">
        <f>IF(E155=0,0,F155/E155)</f>
        <v>753.96600000000012</v>
      </c>
      <c r="H155" s="31">
        <f>SUMIF(rdCustID,A155,rdQty)</f>
        <v>17</v>
      </c>
      <c r="I155" s="23">
        <f>_xlfn.MINIFS(rdSince,rdCustID,A155)</f>
        <v>44468</v>
      </c>
      <c r="J155" s="29" t="str">
        <f ca="1">DATEDIF(I155,TODAY(),"y")&amp;"y "&amp;DATEDIF(I155,TODAY(),"ym")&amp;"m"</f>
        <v>5y 0m</v>
      </c>
      <c r="K155" s="31">
        <f>RANK(F155,F$112:F$161)+COUNTIF(F$112:F155,F155)-1</f>
        <v>29</v>
      </c>
      <c r="L155" s="29" t="str">
        <f>IF(E155&gt;1,"Repeat","One-time")</f>
        <v>Repeat</v>
      </c>
      <c r="M155" s="29" t="str">
        <f>IF(F155&gt;=$D$109,"High-Value","Standard")</f>
        <v>Standard</v>
      </c>
    </row>
    <row r="156" spans="1:13">
      <c r="A156" s="19" t="str">
        <f>"CUST"&amp;TEXT(ROWS(A$112:A156),"000")</f>
        <v>CUST045</v>
      </c>
      <c r="B156" s="19" t="str">
        <f>INDEX(rdCust,MATCH(A156,rdCustID,0))</f>
        <v>Douglas Watson</v>
      </c>
      <c r="C156" s="29" t="str">
        <f>LEFT(B156,1)&amp;MID(B156,FIND(" ",B156)+1,1)</f>
        <v>DW</v>
      </c>
      <c r="D156" s="19" t="str">
        <f>LEFT(B156,1)&amp;". "&amp;MID(B156,FIND(" ",B156)+1,LEN(B156))</f>
        <v>D. Watson</v>
      </c>
      <c r="E156" s="31">
        <f>COUNTIF(rdCustID,A156)</f>
        <v>4</v>
      </c>
      <c r="F156" s="24">
        <f>SUMIF(rdCustID,A156,rdAmt)</f>
        <v>4829.8899999999994</v>
      </c>
      <c r="G156" s="24">
        <f>IF(E156=0,0,F156/E156)</f>
        <v>1207.4724999999999</v>
      </c>
      <c r="H156" s="31">
        <f>SUMIF(rdCustID,A156,rdQty)</f>
        <v>11</v>
      </c>
      <c r="I156" s="23">
        <f>_xlfn.MINIFS(rdSince,rdCustID,A156)</f>
        <v>44681</v>
      </c>
      <c r="J156" s="29" t="str">
        <f ca="1">DATEDIF(I156,TODAY(),"y")&amp;"y "&amp;DATEDIF(I156,TODAY(),"ym")&amp;"m"</f>
        <v>4y 5m</v>
      </c>
      <c r="K156" s="31">
        <f>RANK(F156,F$112:F$161)+COUNTIF(F$112:F156,F156)-1</f>
        <v>21</v>
      </c>
      <c r="L156" s="29" t="str">
        <f>IF(E156&gt;1,"Repeat","One-time")</f>
        <v>Repeat</v>
      </c>
      <c r="M156" s="29" t="str">
        <f>IF(F156&gt;=$D$109,"High-Value","Standard")</f>
        <v>Standard</v>
      </c>
    </row>
    <row r="157" spans="1:13">
      <c r="A157" s="19" t="str">
        <f>"CUST"&amp;TEXT(ROWS(A$112:A157),"000")</f>
        <v>CUST046</v>
      </c>
      <c r="B157" s="19" t="str">
        <f>INDEX(rdCust,MATCH(A157,rdCustID,0))</f>
        <v>Kathleen Bennett</v>
      </c>
      <c r="C157" s="29" t="str">
        <f>LEFT(B157,1)&amp;MID(B157,FIND(" ",B157)+1,1)</f>
        <v>KB</v>
      </c>
      <c r="D157" s="19" t="str">
        <f>LEFT(B157,1)&amp;". "&amp;MID(B157,FIND(" ",B157)+1,LEN(B157))</f>
        <v>K. Bennett</v>
      </c>
      <c r="E157" s="31">
        <f>COUNTIF(rdCustID,A157)</f>
        <v>6</v>
      </c>
      <c r="F157" s="24">
        <f>SUMIF(rdCustID,A157,rdAmt)</f>
        <v>4309.8099999999995</v>
      </c>
      <c r="G157" s="24">
        <f>IF(E157=0,0,F157/E157)</f>
        <v>718.30166666666662</v>
      </c>
      <c r="H157" s="31">
        <f>SUMIF(rdCustID,A157,rdQty)</f>
        <v>19</v>
      </c>
      <c r="I157" s="23">
        <f>_xlfn.MINIFS(rdSince,rdCustID,A157)</f>
        <v>44458</v>
      </c>
      <c r="J157" s="29" t="str">
        <f ca="1">DATEDIF(I157,TODAY(),"y")&amp;"y "&amp;DATEDIF(I157,TODAY(),"ym")&amp;"m"</f>
        <v>5y 0m</v>
      </c>
      <c r="K157" s="31">
        <f>RANK(F157,F$112:F$161)+COUNTIF(F$112:F157,F157)-1</f>
        <v>25</v>
      </c>
      <c r="L157" s="29" t="str">
        <f>IF(E157&gt;1,"Repeat","One-time")</f>
        <v>Repeat</v>
      </c>
      <c r="M157" s="29" t="str">
        <f>IF(F157&gt;=$D$109,"High-Value","Standard")</f>
        <v>Standard</v>
      </c>
    </row>
    <row r="158" spans="1:13">
      <c r="A158" s="19" t="str">
        <f>"CUST"&amp;TEXT(ROWS(A$112:A158),"000")</f>
        <v>CUST047</v>
      </c>
      <c r="B158" s="19" t="str">
        <f>INDEX(rdCust,MATCH(A158,rdCustID,0))</f>
        <v>Gerald Murphy</v>
      </c>
      <c r="C158" s="29" t="str">
        <f>LEFT(B158,1)&amp;MID(B158,FIND(" ",B158)+1,1)</f>
        <v>GM</v>
      </c>
      <c r="D158" s="19" t="str">
        <f>LEFT(B158,1)&amp;". "&amp;MID(B158,FIND(" ",B158)+1,LEN(B158))</f>
        <v>G. Murphy</v>
      </c>
      <c r="E158" s="31">
        <f>COUNTIF(rdCustID,A158)</f>
        <v>4</v>
      </c>
      <c r="F158" s="24">
        <f>SUMIF(rdCustID,A158,rdAmt)</f>
        <v>6379.87</v>
      </c>
      <c r="G158" s="24">
        <f>IF(E158=0,0,F158/E158)</f>
        <v>1594.9675</v>
      </c>
      <c r="H158" s="31">
        <f>SUMIF(rdCustID,A158,rdQty)</f>
        <v>13</v>
      </c>
      <c r="I158" s="23">
        <f>_xlfn.MINIFS(rdSince,rdCustID,A158)</f>
        <v>44497</v>
      </c>
      <c r="J158" s="29" t="str">
        <f ca="1">DATEDIF(I158,TODAY(),"y")&amp;"y "&amp;DATEDIF(I158,TODAY(),"ym")&amp;"m"</f>
        <v>4y 11m</v>
      </c>
      <c r="K158" s="31">
        <f>RANK(F158,F$112:F$161)+COUNTIF(F$112:F158,F158)-1</f>
        <v>12</v>
      </c>
      <c r="L158" s="29" t="str">
        <f>IF(E158&gt;1,"Repeat","One-time")</f>
        <v>Repeat</v>
      </c>
      <c r="M158" s="29" t="str">
        <f>IF(F158&gt;=$D$109,"High-Value","Standard")</f>
        <v>Standard</v>
      </c>
    </row>
    <row r="159" spans="1:13">
      <c r="A159" s="19" t="str">
        <f>"CUST"&amp;TEXT(ROWS(A$112:A159),"000")</f>
        <v>CUST048</v>
      </c>
      <c r="B159" s="19" t="str">
        <f>INDEX(rdCust,MATCH(A159,rdCustID,0))</f>
        <v>Virginia Sanders</v>
      </c>
      <c r="C159" s="29" t="str">
        <f>LEFT(B159,1)&amp;MID(B159,FIND(" ",B159)+1,1)</f>
        <v>VS</v>
      </c>
      <c r="D159" s="19" t="str">
        <f>LEFT(B159,1)&amp;". "&amp;MID(B159,FIND(" ",B159)+1,LEN(B159))</f>
        <v>V. Sanders</v>
      </c>
      <c r="E159" s="31">
        <f>COUNTIF(rdCustID,A159)</f>
        <v>6</v>
      </c>
      <c r="F159" s="24">
        <f>SUMIF(rdCustID,A159,rdAmt)</f>
        <v>4789.7900000000009</v>
      </c>
      <c r="G159" s="24">
        <f>IF(E159=0,0,F159/E159)</f>
        <v>798.29833333333352</v>
      </c>
      <c r="H159" s="31">
        <f>SUMIF(rdCustID,A159,rdQty)</f>
        <v>21</v>
      </c>
      <c r="I159" s="23">
        <f>_xlfn.MINIFS(rdSince,rdCustID,A159)</f>
        <v>44511</v>
      </c>
      <c r="J159" s="29" t="str">
        <f ca="1">DATEDIF(I159,TODAY(),"y")&amp;"y "&amp;DATEDIF(I159,TODAY(),"ym")&amp;"m"</f>
        <v>4y 11m</v>
      </c>
      <c r="K159" s="31">
        <f>RANK(F159,F$112:F$161)+COUNTIF(F$112:F159,F159)-1</f>
        <v>22</v>
      </c>
      <c r="L159" s="29" t="str">
        <f>IF(E159&gt;1,"Repeat","One-time")</f>
        <v>Repeat</v>
      </c>
      <c r="M159" s="29" t="str">
        <f>IF(F159&gt;=$D$109,"High-Value","Standard")</f>
        <v>Standard</v>
      </c>
    </row>
    <row r="160" spans="1:13">
      <c r="A160" s="19" t="str">
        <f>"CUST"&amp;TEXT(ROWS(A$112:A160),"000")</f>
        <v>CUST049</v>
      </c>
      <c r="B160" s="19" t="str">
        <f>INDEX(rdCust,MATCH(A160,rdCustID,0))</f>
        <v>Raymond Ross</v>
      </c>
      <c r="C160" s="29" t="str">
        <f>LEFT(B160,1)&amp;MID(B160,FIND(" ",B160)+1,1)</f>
        <v>RR</v>
      </c>
      <c r="D160" s="19" t="str">
        <f>LEFT(B160,1)&amp;". "&amp;MID(B160,FIND(" ",B160)+1,LEN(B160))</f>
        <v>R. Ross</v>
      </c>
      <c r="E160" s="31">
        <f>COUNTIF(rdCustID,A160)</f>
        <v>4</v>
      </c>
      <c r="F160" s="24">
        <f>SUMIF(rdCustID,A160,rdAmt)</f>
        <v>3669.8500000000004</v>
      </c>
      <c r="G160" s="24">
        <f>IF(E160=0,0,F160/E160)</f>
        <v>917.46250000000009</v>
      </c>
      <c r="H160" s="31">
        <f>SUMIF(rdCustID,A160,rdQty)</f>
        <v>15</v>
      </c>
      <c r="I160" s="23">
        <f>_xlfn.MINIFS(rdSince,rdCustID,A160)</f>
        <v>44509</v>
      </c>
      <c r="J160" s="29" t="str">
        <f ca="1">DATEDIF(I160,TODAY(),"y")&amp;"y "&amp;DATEDIF(I160,TODAY(),"ym")&amp;"m"</f>
        <v>4y 11m</v>
      </c>
      <c r="K160" s="31">
        <f>RANK(F160,F$112:F$161)+COUNTIF(F$112:F160,F160)-1</f>
        <v>30</v>
      </c>
      <c r="L160" s="29" t="str">
        <f>IF(E160&gt;1,"Repeat","One-time")</f>
        <v>Repeat</v>
      </c>
      <c r="M160" s="29" t="str">
        <f>IF(F160&gt;=$D$109,"High-Value","Standard")</f>
        <v>Standard</v>
      </c>
    </row>
    <row r="161" spans="1:13">
      <c r="A161" s="19" t="str">
        <f>"CUST"&amp;TEXT(ROWS(A$112:A161),"000")</f>
        <v>CUST050</v>
      </c>
      <c r="B161" s="19" t="str">
        <f>INDEX(rdCust,MATCH(A161,rdCustID,0))</f>
        <v>Julie Foster</v>
      </c>
      <c r="C161" s="29" t="str">
        <f>LEFT(B161,1)&amp;MID(B161,FIND(" ",B161)+1,1)</f>
        <v>JF</v>
      </c>
      <c r="D161" s="19" t="str">
        <f>LEFT(B161,1)&amp;". "&amp;MID(B161,FIND(" ",B161)+1,LEN(B161))</f>
        <v>J. Foster</v>
      </c>
      <c r="E161" s="31">
        <f>COUNTIF(rdCustID,A161)</f>
        <v>1</v>
      </c>
      <c r="F161" s="24">
        <f>SUMIF(rdCustID,A161,rdAmt)</f>
        <v>239.96</v>
      </c>
      <c r="G161" s="24">
        <f>IF(E161=0,0,F161/E161)</f>
        <v>239.96</v>
      </c>
      <c r="H161" s="31">
        <f>SUMIF(rdCustID,A161,rdQty)</f>
        <v>4</v>
      </c>
      <c r="I161" s="23">
        <f>_xlfn.MINIFS(rdSince,rdCustID,A161)</f>
        <v>44435</v>
      </c>
      <c r="J161" s="29" t="str">
        <f ca="1">DATEDIF(I161,TODAY(),"y")&amp;"y "&amp;DATEDIF(I161,TODAY(),"ym")&amp;"m"</f>
        <v>5y 1m</v>
      </c>
      <c r="K161" s="31">
        <f>RANK(F161,F$112:F$161)+COUNTIF(F$112:F161,F161)-1</f>
        <v>49</v>
      </c>
      <c r="L161" s="29" t="str">
        <f>IF(E161&gt;1,"Repeat","One-time")</f>
        <v>One-time</v>
      </c>
      <c r="M161" s="29" t="str">
        <f>IF(F161&gt;=$D$109,"High-Value","Standard")</f>
        <v>Standard</v>
      </c>
    </row>
    <row r="162" spans="1:13">
      <c r="A162" s="14" t="s">
        <v>453</v>
      </c>
      <c r="E162" s="38">
        <f>SUM(E112:E161)</f>
        <v>250</v>
      </c>
      <c r="F162" s="27">
        <f>SUM(F112:F161)</f>
        <v>229192.47</v>
      </c>
      <c r="H162" s="38">
        <f>SUM(H112:H161)</f>
        <v>753</v>
      </c>
      <c r="I162" s="8" t="str">
        <f>IF(ROUND(F162-SUM(rdAmt),2)=0,"Reconciles to total revenue","CHECK")</f>
        <v>Reconciles to total revenue</v>
      </c>
    </row>
    <row r="164" spans="1:13">
      <c r="A164" s="14" t="s">
        <v>485</v>
      </c>
      <c r="B164" s="25">
        <f>COUNTIF(L112:L161,"Repeat")</f>
        <v>47</v>
      </c>
    </row>
    <row r="165" spans="1:13">
      <c r="A165" s="14" t="s">
        <v>486</v>
      </c>
      <c r="B165" s="25">
        <f>COUNTIF(M112:M161,"High-Value")</f>
        <v>10</v>
      </c>
    </row>
    <row r="166" spans="1:13" ht="27.95" customHeight="1">
      <c r="A166" s="34" t="s">
        <v>487</v>
      </c>
      <c r="B166" s="30">
        <f>SUMIF(M112:M161,"High-Value",F112:F161)/SUM(F112:F161)</f>
        <v>0.40955821977921003</v>
      </c>
    </row>
    <row r="167" spans="1:13">
      <c r="A167" s="14" t="s">
        <v>488</v>
      </c>
      <c r="B167" s="35" t="str">
        <f t="array" ref="B167">INDEX(rdCust,MODE(MATCH(rdCust,rdCust,0)))</f>
        <v>Mark Carter</v>
      </c>
      <c r="C167" s="36">
        <f>COUNTIF(rdCust,B167)</f>
        <v>12</v>
      </c>
    </row>
    <row r="168" spans="1:13">
      <c r="A168" s="14" t="s">
        <v>489</v>
      </c>
      <c r="B168" s="39">
        <f ca="1">(TODAY()-AVERAGE(I112:I161))/365.25</f>
        <v>4.8119917864476438</v>
      </c>
    </row>
    <row r="170" spans="1:13">
      <c r="A170" s="40" t="s">
        <v>490</v>
      </c>
    </row>
    <row r="171" spans="1:13" ht="30" customHeight="1">
      <c r="A171" s="13" t="s">
        <v>458</v>
      </c>
      <c r="B171" s="13" t="s">
        <v>491</v>
      </c>
      <c r="C171" s="13" t="s">
        <v>478</v>
      </c>
      <c r="D171" s="13" t="s">
        <v>457</v>
      </c>
      <c r="E171" s="13" t="s">
        <v>492</v>
      </c>
      <c r="F171" s="13" t="s">
        <v>449</v>
      </c>
      <c r="G171" s="13" t="s">
        <v>484</v>
      </c>
    </row>
    <row r="172" spans="1:13">
      <c r="A172" s="29">
        <v>1</v>
      </c>
      <c r="B172" s="19" t="str">
        <f>INDEX(B$112:B$161,MATCH(A172,K$112:K$161,0))</f>
        <v>Mark Carter</v>
      </c>
      <c r="C172" s="24">
        <f>INDEX(F$112:F$161,MATCH(A172,K$112:K$161,0))</f>
        <v>15659.65</v>
      </c>
      <c r="D172" s="30">
        <f>C172/SUM(rdAmt)</f>
        <v>6.8325324998678966E-2</v>
      </c>
      <c r="E172" s="30">
        <f>SUM(D$172:D172)</f>
        <v>6.8325324998678966E-2</v>
      </c>
      <c r="F172" s="31">
        <f>INDEX(E$112:E$161,MATCH(A172,K$112:K$161,0))</f>
        <v>12</v>
      </c>
      <c r="G172" s="29" t="str">
        <f>INDEX(M$112:M$161,MATCH(A172,K$112:K$161,0))</f>
        <v>High-Value</v>
      </c>
    </row>
    <row r="173" spans="1:13">
      <c r="A173" s="29">
        <v>2</v>
      </c>
      <c r="B173" s="19" t="str">
        <f>INDEX(B$112:B$161,MATCH(A173,K$112:K$161,0))</f>
        <v>Edward Mitchell</v>
      </c>
      <c r="C173" s="24">
        <f>INDEX(F$112:F$161,MATCH(A173,K$112:K$161,0))</f>
        <v>11919.769999999999</v>
      </c>
      <c r="D173" s="30">
        <f>C173/SUM(rdAmt)</f>
        <v>5.2007685941863543E-2</v>
      </c>
      <c r="E173" s="30">
        <f>SUM(D$172:D173)</f>
        <v>0.12033301094054251</v>
      </c>
      <c r="F173" s="31">
        <f>INDEX(E$112:E$161,MATCH(A173,K$112:K$161,0))</f>
        <v>6</v>
      </c>
      <c r="G173" s="29" t="str">
        <f>INDEX(M$112:M$161,MATCH(A173,K$112:K$161,0))</f>
        <v>High-Value</v>
      </c>
    </row>
    <row r="174" spans="1:13">
      <c r="A174" s="29">
        <v>3</v>
      </c>
      <c r="B174" s="19" t="str">
        <f>INDEX(B$112:B$161,MATCH(A174,K$112:K$161,0))</f>
        <v>Barbara Young</v>
      </c>
      <c r="C174" s="24">
        <f>INDEX(F$112:F$161,MATCH(A174,K$112:K$161,0))</f>
        <v>10649.8</v>
      </c>
      <c r="D174" s="30">
        <f>C174/SUM(rdAmt)</f>
        <v>4.6466622572722327E-2</v>
      </c>
      <c r="E174" s="30">
        <f>SUM(D$172:D174)</f>
        <v>0.16679963351326482</v>
      </c>
      <c r="F174" s="31">
        <f>INDEX(E$112:E$161,MATCH(A174,K$112:K$161,0))</f>
        <v>5</v>
      </c>
      <c r="G174" s="29" t="str">
        <f>INDEX(M$112:M$161,MATCH(A174,K$112:K$161,0))</f>
        <v>High-Value</v>
      </c>
    </row>
    <row r="175" spans="1:13">
      <c r="A175" s="29">
        <v>4</v>
      </c>
      <c r="B175" s="19" t="str">
        <f>INDEX(B$112:B$161,MATCH(A175,K$112:K$161,0))</f>
        <v>Patricia Moore</v>
      </c>
      <c r="C175" s="24">
        <f>INDEX(F$112:F$161,MATCH(A175,K$112:K$161,0))</f>
        <v>9799.73</v>
      </c>
      <c r="D175" s="30">
        <f>C175/SUM(rdAmt)</f>
        <v>4.2757643826605587E-2</v>
      </c>
      <c r="E175" s="30">
        <f>SUM(D$172:D175)</f>
        <v>0.2095572773398704</v>
      </c>
      <c r="F175" s="31">
        <f>INDEX(E$112:E$161,MATCH(A175,K$112:K$161,0))</f>
        <v>8</v>
      </c>
      <c r="G175" s="29" t="str">
        <f>INDEX(M$112:M$161,MATCH(A175,K$112:K$161,0))</f>
        <v>High-Value</v>
      </c>
    </row>
    <row r="176" spans="1:13">
      <c r="A176" s="29">
        <v>5</v>
      </c>
      <c r="B176" s="19" t="str">
        <f>INDEX(B$112:B$161,MATCH(A176,K$112:K$161,0))</f>
        <v>Paul Baker</v>
      </c>
      <c r="C176" s="24">
        <f>INDEX(F$112:F$161,MATCH(A176,K$112:K$161,0))</f>
        <v>8309.739999999998</v>
      </c>
      <c r="D176" s="30">
        <f>C176/SUM(rdAmt)</f>
        <v>3.6256601274902212E-2</v>
      </c>
      <c r="E176" s="30">
        <f>SUM(D$172:D176)</f>
        <v>0.24581387861477261</v>
      </c>
      <c r="F176" s="31">
        <f>INDEX(E$112:E$161,MATCH(A176,K$112:K$161,0))</f>
        <v>8</v>
      </c>
      <c r="G176" s="29" t="str">
        <f>INDEX(M$112:M$161,MATCH(A176,K$112:K$161,0))</f>
        <v>High-Value</v>
      </c>
    </row>
    <row r="177" spans="1:14">
      <c r="A177" s="29">
        <v>6</v>
      </c>
      <c r="B177" s="19" t="str">
        <f>INDEX(B$112:B$161,MATCH(A177,K$112:K$161,0))</f>
        <v>Dorothy Nelson</v>
      </c>
      <c r="C177" s="24">
        <f>INDEX(F$112:F$161,MATCH(A177,K$112:K$161,0))</f>
        <v>8269.7900000000009</v>
      </c>
      <c r="D177" s="30">
        <f>C177/SUM(rdAmt)</f>
        <v>3.6082293628582077E-2</v>
      </c>
      <c r="E177" s="30">
        <f>SUM(D$172:D177)</f>
        <v>0.28189617224335467</v>
      </c>
      <c r="F177" s="31">
        <f>INDEX(E$112:E$161,MATCH(A177,K$112:K$161,0))</f>
        <v>6</v>
      </c>
      <c r="G177" s="29" t="str">
        <f>INDEX(M$112:M$161,MATCH(A177,K$112:K$161,0))</f>
        <v>High-Value</v>
      </c>
    </row>
    <row r="178" spans="1:14">
      <c r="A178" s="29">
        <v>7</v>
      </c>
      <c r="B178" s="19" t="str">
        <f>INDEX(B$112:B$161,MATCH(A178,K$112:K$161,0))</f>
        <v>Karen Hill</v>
      </c>
      <c r="C178" s="24">
        <f>INDEX(F$112:F$161,MATCH(A178,K$112:K$161,0))</f>
        <v>8009.7699999999995</v>
      </c>
      <c r="D178" s="30">
        <f>C178/SUM(rdAmt)</f>
        <v>3.4947788642445313E-2</v>
      </c>
      <c r="E178" s="30">
        <f>SUM(D$172:D178)</f>
        <v>0.31684396088579997</v>
      </c>
      <c r="F178" s="31">
        <f>INDEX(E$112:E$161,MATCH(A178,K$112:K$161,0))</f>
        <v>8</v>
      </c>
      <c r="G178" s="29" t="str">
        <f>INDEX(M$112:M$161,MATCH(A178,K$112:K$161,0))</f>
        <v>High-Value</v>
      </c>
    </row>
    <row r="179" spans="1:14">
      <c r="A179" s="29">
        <v>8</v>
      </c>
      <c r="B179" s="19" t="str">
        <f>INDEX(B$112:B$161,MATCH(A179,K$112:K$161,0))</f>
        <v>Daniel King</v>
      </c>
      <c r="C179" s="24">
        <f>INDEX(F$112:F$161,MATCH(A179,K$112:K$161,0))</f>
        <v>7309.7999999999993</v>
      </c>
      <c r="D179" s="30">
        <f>C179/SUM(rdAmt)</f>
        <v>3.18937179742423E-2</v>
      </c>
      <c r="E179" s="30">
        <f>SUM(D$172:D179)</f>
        <v>0.34873767886004226</v>
      </c>
      <c r="F179" s="31">
        <f>INDEX(E$112:E$161,MATCH(A179,K$112:K$161,0))</f>
        <v>7</v>
      </c>
      <c r="G179" s="29" t="str">
        <f>INDEX(M$112:M$161,MATCH(A179,K$112:K$161,0))</f>
        <v>High-Value</v>
      </c>
    </row>
    <row r="180" spans="1:14">
      <c r="A180" s="29">
        <v>9</v>
      </c>
      <c r="B180" s="19" t="str">
        <f>INDEX(B$112:B$161,MATCH(A180,K$112:K$161,0))</f>
        <v>Lawrence Reed</v>
      </c>
      <c r="C180" s="24">
        <f>INDEX(F$112:F$161,MATCH(A180,K$112:K$161,0))</f>
        <v>6989.7699999999986</v>
      </c>
      <c r="D180" s="30">
        <f>C180/SUM(rdAmt)</f>
        <v>3.0497380651292726E-2</v>
      </c>
      <c r="E180" s="30">
        <f>SUM(D$172:D180)</f>
        <v>0.37923505951133496</v>
      </c>
      <c r="F180" s="31">
        <f>INDEX(E$112:E$161,MATCH(A180,K$112:K$161,0))</f>
        <v>8</v>
      </c>
      <c r="G180" s="29" t="str">
        <f>INDEX(M$112:M$161,MATCH(A180,K$112:K$161,0))</f>
        <v>High-Value</v>
      </c>
    </row>
    <row r="181" spans="1:14">
      <c r="A181" s="29">
        <v>10</v>
      </c>
      <c r="B181" s="19" t="str">
        <f>INDEX(B$112:B$161,MATCH(A181,K$112:K$161,0))</f>
        <v>Joseph Jackson</v>
      </c>
      <c r="C181" s="24">
        <f>INDEX(F$112:F$161,MATCH(A181,K$112:K$161,0))</f>
        <v>6949.84</v>
      </c>
      <c r="D181" s="30">
        <f>C181/SUM(rdAmt)</f>
        <v>3.0323160267874377E-2</v>
      </c>
      <c r="E181" s="30">
        <f>SUM(D$172:D181)</f>
        <v>0.40955821977920936</v>
      </c>
      <c r="F181" s="31">
        <f>INDEX(E$112:E$161,MATCH(A181,K$112:K$161,0))</f>
        <v>5</v>
      </c>
      <c r="G181" s="29" t="str">
        <f>INDEX(M$112:M$161,MATCH(A181,K$112:K$161,0))</f>
        <v>High-Value</v>
      </c>
    </row>
    <row r="184" spans="1:14" ht="20.100000000000001" customHeight="1">
      <c r="A184" s="11" t="s">
        <v>493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>
      <c r="A185" s="14" t="s">
        <v>494</v>
      </c>
      <c r="B185" s="41" t="s">
        <v>6</v>
      </c>
    </row>
    <row r="186" spans="1:14">
      <c r="A186" s="14" t="s">
        <v>495</v>
      </c>
      <c r="B186" s="41" t="s">
        <v>7</v>
      </c>
    </row>
    <row r="188" spans="1:14" ht="30" customHeight="1">
      <c r="A188" s="13" t="s">
        <v>474</v>
      </c>
      <c r="B188" s="13" t="str">
        <f>"List A – "&amp;$B$185</f>
        <v>List A – Electronics</v>
      </c>
      <c r="C188" s="13" t="str">
        <f>"List B – "&amp;$B$186</f>
        <v>List B – Furniture</v>
      </c>
      <c r="D188" s="13" t="s">
        <v>496</v>
      </c>
    </row>
    <row r="189" spans="1:14">
      <c r="A189" s="19" t="str">
        <f>A112</f>
        <v>CUST001</v>
      </c>
      <c r="B189" s="19" t="str">
        <f>IF(COUNTIFS(rdCustID,A189,rdCat,$B$185)&gt;0,B112,"")</f>
        <v/>
      </c>
      <c r="C189" s="19" t="str">
        <f>IF(COUNTIFS(rdCustID,A189,rdCat,$B$186)&gt;0,B112,"")</f>
        <v>John Smith</v>
      </c>
      <c r="D189" s="19" t="str">
        <f>IF(C189="","",IF(COUNTIF($B$189:$B$238,C189)&gt;0,C189,""))</f>
        <v/>
      </c>
      <c r="F189" s="14" t="s">
        <v>497</v>
      </c>
      <c r="G189" s="25">
        <f>COUNTIF(B189:B238,"?*")</f>
        <v>44</v>
      </c>
    </row>
    <row r="190" spans="1:14">
      <c r="A190" s="19" t="str">
        <f>A113</f>
        <v>CUST002</v>
      </c>
      <c r="B190" s="19" t="str">
        <f>IF(COUNTIFS(rdCustID,A190,rdCat,$B$185)&gt;0,B113,"")</f>
        <v>Emma Wilson</v>
      </c>
      <c r="C190" s="19" t="str">
        <f>IF(COUNTIFS(rdCustID,A190,rdCat,$B$186)&gt;0,B113,"")</f>
        <v>Emma Wilson</v>
      </c>
      <c r="D190" s="19" t="str">
        <f>IF(C190="","",IF(COUNTIF($B$189:$B$238,C190)&gt;0,C190,""))</f>
        <v>Emma Wilson</v>
      </c>
      <c r="F190" s="14" t="s">
        <v>498</v>
      </c>
      <c r="G190" s="25">
        <f>COUNTIF(C189:C238,"?*")</f>
        <v>37</v>
      </c>
    </row>
    <row r="191" spans="1:14">
      <c r="A191" s="19" t="str">
        <f>A114</f>
        <v>CUST003</v>
      </c>
      <c r="B191" s="19" t="str">
        <f>IF(COUNTIFS(rdCustID,A191,rdCat,$B$185)&gt;0,B114,"")</f>
        <v>Michael Brown</v>
      </c>
      <c r="C191" s="19" t="str">
        <f>IF(COUNTIFS(rdCustID,A191,rdCat,$B$186)&gt;0,B114,"")</f>
        <v>Michael Brown</v>
      </c>
      <c r="D191" s="19" t="str">
        <f>IF(C191="","",IF(COUNTIF($B$189:$B$238,C191)&gt;0,C191,""))</f>
        <v>Michael Brown</v>
      </c>
      <c r="F191" s="14" t="s">
        <v>499</v>
      </c>
      <c r="G191" s="25">
        <f>COUNTIF(D189:D238,"?*")</f>
        <v>34</v>
      </c>
    </row>
    <row r="192" spans="1:14">
      <c r="A192" s="19" t="str">
        <f>A115</f>
        <v>CUST004</v>
      </c>
      <c r="B192" s="19" t="str">
        <f>IF(COUNTIFS(rdCustID,A192,rdCat,$B$185)&gt;0,B115,"")</f>
        <v>Sarah Davis</v>
      </c>
      <c r="C192" s="19" t="str">
        <f>IF(COUNTIFS(rdCustID,A192,rdCat,$B$186)&gt;0,B115,"")</f>
        <v>Sarah Davis</v>
      </c>
      <c r="D192" s="19" t="str">
        <f>IF(C192="","",IF(COUNTIF($B$189:$B$238,C192)&gt;0,C192,""))</f>
        <v>Sarah Davis</v>
      </c>
    </row>
    <row r="193" spans="1:4">
      <c r="A193" s="19" t="str">
        <f>A116</f>
        <v>CUST005</v>
      </c>
      <c r="B193" s="19" t="str">
        <f>IF(COUNTIFS(rdCustID,A193,rdCat,$B$185)&gt;0,B116,"")</f>
        <v/>
      </c>
      <c r="C193" s="19" t="str">
        <f>IF(COUNTIFS(rdCustID,A193,rdCat,$B$186)&gt;0,B116,"")</f>
        <v/>
      </c>
      <c r="D193" s="19" t="str">
        <f>IF(C193="","",IF(COUNTIF($B$189:$B$238,C193)&gt;0,C193,""))</f>
        <v/>
      </c>
    </row>
    <row r="194" spans="1:4">
      <c r="A194" s="19" t="str">
        <f>A117</f>
        <v>CUST006</v>
      </c>
      <c r="B194" s="19" t="str">
        <f>IF(COUNTIFS(rdCustID,A194,rdCat,$B$185)&gt;0,B117,"")</f>
        <v>Lisa Anderson</v>
      </c>
      <c r="C194" s="19" t="str">
        <f>IF(COUNTIFS(rdCustID,A194,rdCat,$B$186)&gt;0,B117,"")</f>
        <v>Lisa Anderson</v>
      </c>
      <c r="D194" s="19" t="str">
        <f>IF(C194="","",IF(COUNTIF($B$189:$B$238,C194)&gt;0,C194,""))</f>
        <v>Lisa Anderson</v>
      </c>
    </row>
    <row r="195" spans="1:4">
      <c r="A195" s="19" t="str">
        <f>A118</f>
        <v>CUST007</v>
      </c>
      <c r="B195" s="19" t="str">
        <f>IF(COUNTIFS(rdCustID,A195,rdCat,$B$185)&gt;0,B118,"")</f>
        <v>David Martinez</v>
      </c>
      <c r="C195" s="19" t="str">
        <f>IF(COUNTIFS(rdCustID,A195,rdCat,$B$186)&gt;0,B118,"")</f>
        <v>David Martinez</v>
      </c>
      <c r="D195" s="19" t="str">
        <f>IF(C195="","",IF(COUNTIF($B$189:$B$238,C195)&gt;0,C195,""))</f>
        <v>David Martinez</v>
      </c>
    </row>
    <row r="196" spans="1:4">
      <c r="A196" s="19" t="str">
        <f>A119</f>
        <v>CUST008</v>
      </c>
      <c r="B196" s="19" t="str">
        <f>IF(COUNTIFS(rdCustID,A196,rdCat,$B$185)&gt;0,B119,"")</f>
        <v>Jennifer Taylor</v>
      </c>
      <c r="C196" s="19" t="str">
        <f>IF(COUNTIFS(rdCustID,A196,rdCat,$B$186)&gt;0,B119,"")</f>
        <v>Jennifer Taylor</v>
      </c>
      <c r="D196" s="19" t="str">
        <f>IF(C196="","",IF(COUNTIF($B$189:$B$238,C196)&gt;0,C196,""))</f>
        <v>Jennifer Taylor</v>
      </c>
    </row>
    <row r="197" spans="1:4">
      <c r="A197" s="19" t="str">
        <f>A120</f>
        <v>CUST009</v>
      </c>
      <c r="B197" s="19" t="str">
        <f>IF(COUNTIFS(rdCustID,A197,rdCat,$B$185)&gt;0,B120,"")</f>
        <v>Robert Thomas</v>
      </c>
      <c r="C197" s="19" t="str">
        <f>IF(COUNTIFS(rdCustID,A197,rdCat,$B$186)&gt;0,B120,"")</f>
        <v>Robert Thomas</v>
      </c>
      <c r="D197" s="19" t="str">
        <f>IF(C197="","",IF(COUNTIF($B$189:$B$238,C197)&gt;0,C197,""))</f>
        <v>Robert Thomas</v>
      </c>
    </row>
    <row r="198" spans="1:4">
      <c r="A198" s="19" t="str">
        <f>A121</f>
        <v>CUST010</v>
      </c>
      <c r="B198" s="19" t="str">
        <f>IF(COUNTIFS(rdCustID,A198,rdCat,$B$185)&gt;0,B121,"")</f>
        <v>Maria Garcia</v>
      </c>
      <c r="C198" s="19" t="str">
        <f>IF(COUNTIFS(rdCustID,A198,rdCat,$B$186)&gt;0,B121,"")</f>
        <v>Maria Garcia</v>
      </c>
      <c r="D198" s="19" t="str">
        <f>IF(C198="","",IF(COUNTIF($B$189:$B$238,C198)&gt;0,C198,""))</f>
        <v>Maria Garcia</v>
      </c>
    </row>
    <row r="199" spans="1:4">
      <c r="A199" s="19" t="str">
        <f>A122</f>
        <v>CUST011</v>
      </c>
      <c r="B199" s="19" t="str">
        <f>IF(COUNTIFS(rdCustID,A199,rdCat,$B$185)&gt;0,B122,"")</f>
        <v>William White</v>
      </c>
      <c r="C199" s="19" t="str">
        <f>IF(COUNTIFS(rdCustID,A199,rdCat,$B$186)&gt;0,B122,"")</f>
        <v/>
      </c>
      <c r="D199" s="19" t="str">
        <f>IF(C199="","",IF(COUNTIF($B$189:$B$238,C199)&gt;0,C199,""))</f>
        <v/>
      </c>
    </row>
    <row r="200" spans="1:4">
      <c r="A200" s="19" t="str">
        <f>A123</f>
        <v>CUST012</v>
      </c>
      <c r="B200" s="19" t="str">
        <f>IF(COUNTIFS(rdCustID,A200,rdCat,$B$185)&gt;0,B123,"")</f>
        <v>Patricia Moore</v>
      </c>
      <c r="C200" s="19" t="str">
        <f>IF(COUNTIFS(rdCustID,A200,rdCat,$B$186)&gt;0,B123,"")</f>
        <v>Patricia Moore</v>
      </c>
      <c r="D200" s="19" t="str">
        <f>IF(C200="","",IF(COUNTIF($B$189:$B$238,C200)&gt;0,C200,""))</f>
        <v>Patricia Moore</v>
      </c>
    </row>
    <row r="201" spans="1:4">
      <c r="A201" s="19" t="str">
        <f>A124</f>
        <v>CUST013</v>
      </c>
      <c r="B201" s="19" t="str">
        <f>IF(COUNTIFS(rdCustID,A201,rdCat,$B$185)&gt;0,B124,"")</f>
        <v>Joseph Jackson</v>
      </c>
      <c r="C201" s="19" t="str">
        <f>IF(COUNTIFS(rdCustID,A201,rdCat,$B$186)&gt;0,B124,"")</f>
        <v/>
      </c>
      <c r="D201" s="19" t="str">
        <f>IF(C201="","",IF(COUNTIF($B$189:$B$238,C201)&gt;0,C201,""))</f>
        <v/>
      </c>
    </row>
    <row r="202" spans="1:4">
      <c r="A202" s="19" t="str">
        <f>A125</f>
        <v>CUST014</v>
      </c>
      <c r="B202" s="19" t="str">
        <f>IF(COUNTIFS(rdCustID,A202,rdCat,$B$185)&gt;0,B125,"")</f>
        <v>Linda Martin</v>
      </c>
      <c r="C202" s="19" t="str">
        <f>IF(COUNTIFS(rdCustID,A202,rdCat,$B$186)&gt;0,B125,"")</f>
        <v>Linda Martin</v>
      </c>
      <c r="D202" s="19" t="str">
        <f>IF(C202="","",IF(COUNTIF($B$189:$B$238,C202)&gt;0,C202,""))</f>
        <v>Linda Martin</v>
      </c>
    </row>
    <row r="203" spans="1:4">
      <c r="A203" s="19" t="str">
        <f>A126</f>
        <v>CUST015</v>
      </c>
      <c r="B203" s="19" t="str">
        <f>IF(COUNTIFS(rdCustID,A203,rdCat,$B$185)&gt;0,B126,"")</f>
        <v/>
      </c>
      <c r="C203" s="19" t="str">
        <f>IF(COUNTIFS(rdCustID,A203,rdCat,$B$186)&gt;0,B126,"")</f>
        <v>Richard Lee</v>
      </c>
      <c r="D203" s="19" t="str">
        <f>IF(C203="","",IF(COUNTIF($B$189:$B$238,C203)&gt;0,C203,""))</f>
        <v/>
      </c>
    </row>
    <row r="204" spans="1:4">
      <c r="A204" s="19" t="str">
        <f>A127</f>
        <v>CUST016</v>
      </c>
      <c r="B204" s="19" t="str">
        <f>IF(COUNTIFS(rdCustID,A204,rdCat,$B$185)&gt;0,B127,"")</f>
        <v>Elizabeth Hall</v>
      </c>
      <c r="C204" s="19" t="str">
        <f>IF(COUNTIFS(rdCustID,A204,rdCat,$B$186)&gt;0,B127,"")</f>
        <v>Elizabeth Hall</v>
      </c>
      <c r="D204" s="19" t="str">
        <f>IF(C204="","",IF(COUNTIF($B$189:$B$238,C204)&gt;0,C204,""))</f>
        <v>Elizabeth Hall</v>
      </c>
    </row>
    <row r="205" spans="1:4">
      <c r="A205" s="19" t="str">
        <f>A128</f>
        <v>CUST017</v>
      </c>
      <c r="B205" s="19" t="str">
        <f>IF(COUNTIFS(rdCustID,A205,rdCat,$B$185)&gt;0,B128,"")</f>
        <v>Charles Allen</v>
      </c>
      <c r="C205" s="19" t="str">
        <f>IF(COUNTIFS(rdCustID,A205,rdCat,$B$186)&gt;0,B128,"")</f>
        <v>Charles Allen</v>
      </c>
      <c r="D205" s="19" t="str">
        <f>IF(C205="","",IF(COUNTIF($B$189:$B$238,C205)&gt;0,C205,""))</f>
        <v>Charles Allen</v>
      </c>
    </row>
    <row r="206" spans="1:4">
      <c r="A206" s="19" t="str">
        <f>A129</f>
        <v>CUST018</v>
      </c>
      <c r="B206" s="19" t="str">
        <f>IF(COUNTIFS(rdCustID,A206,rdCat,$B$185)&gt;0,B129,"")</f>
        <v>Barbara Young</v>
      </c>
      <c r="C206" s="19" t="str">
        <f>IF(COUNTIFS(rdCustID,A206,rdCat,$B$186)&gt;0,B129,"")</f>
        <v/>
      </c>
      <c r="D206" s="19" t="str">
        <f>IF(C206="","",IF(COUNTIF($B$189:$B$238,C206)&gt;0,C206,""))</f>
        <v/>
      </c>
    </row>
    <row r="207" spans="1:4">
      <c r="A207" s="19" t="str">
        <f>A130</f>
        <v>CUST019</v>
      </c>
      <c r="B207" s="19" t="str">
        <f>IF(COUNTIFS(rdCustID,A207,rdCat,$B$185)&gt;0,B130,"")</f>
        <v>Daniel King</v>
      </c>
      <c r="C207" s="19" t="str">
        <f>IF(COUNTIFS(rdCustID,A207,rdCat,$B$186)&gt;0,B130,"")</f>
        <v>Daniel King</v>
      </c>
      <c r="D207" s="19" t="str">
        <f>IF(C207="","",IF(COUNTIF($B$189:$B$238,C207)&gt;0,C207,""))</f>
        <v>Daniel King</v>
      </c>
    </row>
    <row r="208" spans="1:4">
      <c r="A208" s="19" t="str">
        <f>A131</f>
        <v>CUST020</v>
      </c>
      <c r="B208" s="19" t="str">
        <f>IF(COUNTIFS(rdCustID,A208,rdCat,$B$185)&gt;0,B131,"")</f>
        <v>Margaret Wright</v>
      </c>
      <c r="C208" s="19" t="str">
        <f>IF(COUNTIFS(rdCustID,A208,rdCat,$B$186)&gt;0,B131,"")</f>
        <v>Margaret Wright</v>
      </c>
      <c r="D208" s="19" t="str">
        <f>IF(C208="","",IF(COUNTIF($B$189:$B$238,C208)&gt;0,C208,""))</f>
        <v>Margaret Wright</v>
      </c>
    </row>
    <row r="209" spans="1:4">
      <c r="A209" s="19" t="str">
        <f>A132</f>
        <v>CUST021</v>
      </c>
      <c r="B209" s="19" t="str">
        <f>IF(COUNTIFS(rdCustID,A209,rdCat,$B$185)&gt;0,B132,"")</f>
        <v>Kevin Scott</v>
      </c>
      <c r="C209" s="19" t="str">
        <f>IF(COUNTIFS(rdCustID,A209,rdCat,$B$186)&gt;0,B132,"")</f>
        <v>Kevin Scott</v>
      </c>
      <c r="D209" s="19" t="str">
        <f>IF(C209="","",IF(COUNTIF($B$189:$B$238,C209)&gt;0,C209,""))</f>
        <v>Kevin Scott</v>
      </c>
    </row>
    <row r="210" spans="1:4">
      <c r="A210" s="19" t="str">
        <f>A133</f>
        <v>CUST022</v>
      </c>
      <c r="B210" s="19" t="str">
        <f>IF(COUNTIFS(rdCustID,A210,rdCat,$B$185)&gt;0,B133,"")</f>
        <v>Susan Green</v>
      </c>
      <c r="C210" s="19" t="str">
        <f>IF(COUNTIFS(rdCustID,A210,rdCat,$B$186)&gt;0,B133,"")</f>
        <v>Susan Green</v>
      </c>
      <c r="D210" s="19" t="str">
        <f>IF(C210="","",IF(COUNTIF($B$189:$B$238,C210)&gt;0,C210,""))</f>
        <v>Susan Green</v>
      </c>
    </row>
    <row r="211" spans="1:4">
      <c r="A211" s="19" t="str">
        <f>A134</f>
        <v>CUST023</v>
      </c>
      <c r="B211" s="19" t="str">
        <f>IF(COUNTIFS(rdCustID,A211,rdCat,$B$185)&gt;0,B134,"")</f>
        <v>Paul Baker</v>
      </c>
      <c r="C211" s="19" t="str">
        <f>IF(COUNTIFS(rdCustID,A211,rdCat,$B$186)&gt;0,B134,"")</f>
        <v>Paul Baker</v>
      </c>
      <c r="D211" s="19" t="str">
        <f>IF(C211="","",IF(COUNTIF($B$189:$B$238,C211)&gt;0,C211,""))</f>
        <v>Paul Baker</v>
      </c>
    </row>
    <row r="212" spans="1:4">
      <c r="A212" s="19" t="str">
        <f>A135</f>
        <v>CUST024</v>
      </c>
      <c r="B212" s="19" t="str">
        <f>IF(COUNTIFS(rdCustID,A212,rdCat,$B$185)&gt;0,B135,"")</f>
        <v>Dorothy Nelson</v>
      </c>
      <c r="C212" s="19" t="str">
        <f>IF(COUNTIFS(rdCustID,A212,rdCat,$B$186)&gt;0,B135,"")</f>
        <v>Dorothy Nelson</v>
      </c>
      <c r="D212" s="19" t="str">
        <f>IF(C212="","",IF(COUNTIF($B$189:$B$238,C212)&gt;0,C212,""))</f>
        <v>Dorothy Nelson</v>
      </c>
    </row>
    <row r="213" spans="1:4">
      <c r="A213" s="19" t="str">
        <f>A136</f>
        <v>CUST025</v>
      </c>
      <c r="B213" s="19" t="str">
        <f>IF(COUNTIFS(rdCustID,A213,rdCat,$B$185)&gt;0,B136,"")</f>
        <v>Mark Carter</v>
      </c>
      <c r="C213" s="19" t="str">
        <f>IF(COUNTIFS(rdCustID,A213,rdCat,$B$186)&gt;0,B136,"")</f>
        <v>Mark Carter</v>
      </c>
      <c r="D213" s="19" t="str">
        <f>IF(C213="","",IF(COUNTIF($B$189:$B$238,C213)&gt;0,C213,""))</f>
        <v>Mark Carter</v>
      </c>
    </row>
    <row r="214" spans="1:4">
      <c r="A214" s="19" t="str">
        <f>A137</f>
        <v>CUST026</v>
      </c>
      <c r="B214" s="19" t="str">
        <f>IF(COUNTIFS(rdCustID,A214,rdCat,$B$185)&gt;0,B137,"")</f>
        <v>Karen Hill</v>
      </c>
      <c r="C214" s="19" t="str">
        <f>IF(COUNTIFS(rdCustID,A214,rdCat,$B$186)&gt;0,B137,"")</f>
        <v>Karen Hill</v>
      </c>
      <c r="D214" s="19" t="str">
        <f>IF(C214="","",IF(COUNTIF($B$189:$B$238,C214)&gt;0,C214,""))</f>
        <v>Karen Hill</v>
      </c>
    </row>
    <row r="215" spans="1:4">
      <c r="A215" s="19" t="str">
        <f>A138</f>
        <v>CUST027</v>
      </c>
      <c r="B215" s="19" t="str">
        <f>IF(COUNTIFS(rdCustID,A215,rdCat,$B$185)&gt;0,B138,"")</f>
        <v>George Adams</v>
      </c>
      <c r="C215" s="19" t="str">
        <f>IF(COUNTIFS(rdCustID,A215,rdCat,$B$186)&gt;0,B138,"")</f>
        <v/>
      </c>
      <c r="D215" s="19" t="str">
        <f>IF(C215="","",IF(COUNTIF($B$189:$B$238,C215)&gt;0,C215,""))</f>
        <v/>
      </c>
    </row>
    <row r="216" spans="1:4">
      <c r="A216" s="19" t="str">
        <f>A139</f>
        <v>CUST028</v>
      </c>
      <c r="B216" s="19" t="str">
        <f>IF(COUNTIFS(rdCustID,A216,rdCat,$B$185)&gt;0,B139,"")</f>
        <v>Betty Campbell</v>
      </c>
      <c r="C216" s="19" t="str">
        <f>IF(COUNTIFS(rdCustID,A216,rdCat,$B$186)&gt;0,B139,"")</f>
        <v>Betty Campbell</v>
      </c>
      <c r="D216" s="19" t="str">
        <f>IF(C216="","",IF(COUNTIF($B$189:$B$238,C216)&gt;0,C216,""))</f>
        <v>Betty Campbell</v>
      </c>
    </row>
    <row r="217" spans="1:4">
      <c r="A217" s="19" t="str">
        <f>A140</f>
        <v>CUST029</v>
      </c>
      <c r="B217" s="19" t="str">
        <f>IF(COUNTIFS(rdCustID,A217,rdCat,$B$185)&gt;0,B140,"")</f>
        <v>Edward Mitchell</v>
      </c>
      <c r="C217" s="19" t="str">
        <f>IF(COUNTIFS(rdCustID,A217,rdCat,$B$186)&gt;0,B140,"")</f>
        <v>Edward Mitchell</v>
      </c>
      <c r="D217" s="19" t="str">
        <f>IF(C217="","",IF(COUNTIF($B$189:$B$238,C217)&gt;0,C217,""))</f>
        <v>Edward Mitchell</v>
      </c>
    </row>
    <row r="218" spans="1:4">
      <c r="A218" s="19" t="str">
        <f>A141</f>
        <v>CUST030</v>
      </c>
      <c r="B218" s="19" t="str">
        <f>IF(COUNTIFS(rdCustID,A218,rdCat,$B$185)&gt;0,B141,"")</f>
        <v>Helen Roberts</v>
      </c>
      <c r="C218" s="19" t="str">
        <f>IF(COUNTIFS(rdCustID,A218,rdCat,$B$186)&gt;0,B141,"")</f>
        <v>Helen Roberts</v>
      </c>
      <c r="D218" s="19" t="str">
        <f>IF(C218="","",IF(COUNTIF($B$189:$B$238,C218)&gt;0,C218,""))</f>
        <v>Helen Roberts</v>
      </c>
    </row>
    <row r="219" spans="1:4">
      <c r="A219" s="19" t="str">
        <f>A142</f>
        <v>CUST031</v>
      </c>
      <c r="B219" s="19" t="str">
        <f>IF(COUNTIFS(rdCustID,A219,rdCat,$B$185)&gt;0,B142,"")</f>
        <v>Steven Turner</v>
      </c>
      <c r="C219" s="19" t="str">
        <f>IF(COUNTIFS(rdCustID,A219,rdCat,$B$186)&gt;0,B142,"")</f>
        <v>Steven Turner</v>
      </c>
      <c r="D219" s="19" t="str">
        <f>IF(C219="","",IF(COUNTIF($B$189:$B$238,C219)&gt;0,C219,""))</f>
        <v>Steven Turner</v>
      </c>
    </row>
    <row r="220" spans="1:4">
      <c r="A220" s="19" t="str">
        <f>A143</f>
        <v>CUST032</v>
      </c>
      <c r="B220" s="19" t="str">
        <f>IF(COUNTIFS(rdCustID,A220,rdCat,$B$185)&gt;0,B143,"")</f>
        <v>Sandra Phillips</v>
      </c>
      <c r="C220" s="19" t="str">
        <f>IF(COUNTIFS(rdCustID,A220,rdCat,$B$186)&gt;0,B143,"")</f>
        <v>Sandra Phillips</v>
      </c>
      <c r="D220" s="19" t="str">
        <f>IF(C220="","",IF(COUNTIF($B$189:$B$238,C220)&gt;0,C220,""))</f>
        <v>Sandra Phillips</v>
      </c>
    </row>
    <row r="221" spans="1:4">
      <c r="A221" s="19" t="str">
        <f>A144</f>
        <v>CUST033</v>
      </c>
      <c r="B221" s="19" t="str">
        <f>IF(COUNTIFS(rdCustID,A221,rdCat,$B$185)&gt;0,B144,"")</f>
        <v/>
      </c>
      <c r="C221" s="19" t="str">
        <f>IF(COUNTIFS(rdCustID,A221,rdCat,$B$186)&gt;0,B144,"")</f>
        <v>Frank Torres</v>
      </c>
      <c r="D221" s="19" t="str">
        <f>IF(C221="","",IF(COUNTIF($B$189:$B$238,C221)&gt;0,C221,""))</f>
        <v/>
      </c>
    </row>
    <row r="222" spans="1:4">
      <c r="A222" s="19" t="str">
        <f>A145</f>
        <v>CUST034</v>
      </c>
      <c r="B222" s="19" t="str">
        <f>IF(COUNTIFS(rdCustID,A222,rdCat,$B$185)&gt;0,B145,"")</f>
        <v>Carol Evans</v>
      </c>
      <c r="C222" s="19" t="str">
        <f>IF(COUNTIFS(rdCustID,A222,rdCat,$B$186)&gt;0,B145,"")</f>
        <v>Carol Evans</v>
      </c>
      <c r="D222" s="19" t="str">
        <f>IF(C222="","",IF(COUNTIF($B$189:$B$238,C222)&gt;0,C222,""))</f>
        <v>Carol Evans</v>
      </c>
    </row>
    <row r="223" spans="1:4">
      <c r="A223" s="19" t="str">
        <f>A146</f>
        <v>CUST035</v>
      </c>
      <c r="B223" s="19" t="str">
        <f>IF(COUNTIFS(rdCustID,A223,rdCat,$B$185)&gt;0,B146,"")</f>
        <v>Harry Morgan</v>
      </c>
      <c r="C223" s="19" t="str">
        <f>IF(COUNTIFS(rdCustID,A223,rdCat,$B$186)&gt;0,B146,"")</f>
        <v/>
      </c>
      <c r="D223" s="19" t="str">
        <f>IF(C223="","",IF(COUNTIF($B$189:$B$238,C223)&gt;0,C223,""))</f>
        <v/>
      </c>
    </row>
    <row r="224" spans="1:4">
      <c r="A224" s="19" t="str">
        <f>A147</f>
        <v>CUST036</v>
      </c>
      <c r="B224" s="19" t="str">
        <f>IF(COUNTIFS(rdCustID,A224,rdCat,$B$185)&gt;0,B147,"")</f>
        <v>Nancy Collins</v>
      </c>
      <c r="C224" s="19" t="str">
        <f>IF(COUNTIFS(rdCustID,A224,rdCat,$B$186)&gt;0,B147,"")</f>
        <v>Nancy Collins</v>
      </c>
      <c r="D224" s="19" t="str">
        <f>IF(C224="","",IF(COUNTIF($B$189:$B$238,C224)&gt;0,C224,""))</f>
        <v>Nancy Collins</v>
      </c>
    </row>
    <row r="225" spans="1:14">
      <c r="A225" s="19" t="str">
        <f>A148</f>
        <v>CUST037</v>
      </c>
      <c r="B225" s="19" t="str">
        <f>IF(COUNTIFS(rdCustID,A225,rdCat,$B$185)&gt;0,B148,"")</f>
        <v>Arthur Edwards</v>
      </c>
      <c r="C225" s="19" t="str">
        <f>IF(COUNTIFS(rdCustID,A225,rdCat,$B$186)&gt;0,B148,"")</f>
        <v>Arthur Edwards</v>
      </c>
      <c r="D225" s="19" t="str">
        <f>IF(C225="","",IF(COUNTIF($B$189:$B$238,C225)&gt;0,C225,""))</f>
        <v>Arthur Edwards</v>
      </c>
    </row>
    <row r="226" spans="1:14">
      <c r="A226" s="19" t="str">
        <f>A149</f>
        <v>CUST038</v>
      </c>
      <c r="B226" s="19" t="str">
        <f>IF(COUNTIFS(rdCustID,A226,rdCat,$B$185)&gt;0,B149,"")</f>
        <v>Michelle Rogers</v>
      </c>
      <c r="C226" s="19" t="str">
        <f>IF(COUNTIFS(rdCustID,A226,rdCat,$B$186)&gt;0,B149,"")</f>
        <v/>
      </c>
      <c r="D226" s="19" t="str">
        <f>IF(C226="","",IF(COUNTIF($B$189:$B$238,C226)&gt;0,C226,""))</f>
        <v/>
      </c>
    </row>
    <row r="227" spans="1:14">
      <c r="A227" s="19" t="str">
        <f>A150</f>
        <v>CUST039</v>
      </c>
      <c r="B227" s="19" t="str">
        <f>IF(COUNTIFS(rdCustID,A227,rdCat,$B$185)&gt;0,B150,"")</f>
        <v>Lawrence Reed</v>
      </c>
      <c r="C227" s="19" t="str">
        <f>IF(COUNTIFS(rdCustID,A227,rdCat,$B$186)&gt;0,B150,"")</f>
        <v>Lawrence Reed</v>
      </c>
      <c r="D227" s="19" t="str">
        <f>IF(C227="","",IF(COUNTIF($B$189:$B$238,C227)&gt;0,C227,""))</f>
        <v>Lawrence Reed</v>
      </c>
    </row>
    <row r="228" spans="1:14">
      <c r="A228" s="19" t="str">
        <f>A151</f>
        <v>CUST040</v>
      </c>
      <c r="B228" s="19" t="str">
        <f>IF(COUNTIFS(rdCustID,A228,rdCat,$B$185)&gt;0,B151,"")</f>
        <v>Sharon Butler</v>
      </c>
      <c r="C228" s="19" t="str">
        <f>IF(COUNTIFS(rdCustID,A228,rdCat,$B$186)&gt;0,B151,"")</f>
        <v/>
      </c>
      <c r="D228" s="19" t="str">
        <f>IF(C228="","",IF(COUNTIF($B$189:$B$238,C228)&gt;0,C228,""))</f>
        <v/>
      </c>
    </row>
    <row r="229" spans="1:14">
      <c r="A229" s="19" t="str">
        <f>A152</f>
        <v>CUST041</v>
      </c>
      <c r="B229" s="19" t="str">
        <f>IF(COUNTIFS(rdCustID,A229,rdCat,$B$185)&gt;0,B152,"")</f>
        <v>Peter Richardson</v>
      </c>
      <c r="C229" s="19" t="str">
        <f>IF(COUNTIFS(rdCustID,A229,rdCat,$B$186)&gt;0,B152,"")</f>
        <v>Peter Richardson</v>
      </c>
      <c r="D229" s="19" t="str">
        <f>IF(C229="","",IF(COUNTIF($B$189:$B$238,C229)&gt;0,C229,""))</f>
        <v>Peter Richardson</v>
      </c>
    </row>
    <row r="230" spans="1:14">
      <c r="A230" s="19" t="str">
        <f>A153</f>
        <v>CUST042</v>
      </c>
      <c r="B230" s="19" t="str">
        <f>IF(COUNTIFS(rdCustID,A230,rdCat,$B$185)&gt;0,B153,"")</f>
        <v>Ruth Brooks</v>
      </c>
      <c r="C230" s="19" t="str">
        <f>IF(COUNTIFS(rdCustID,A230,rdCat,$B$186)&gt;0,B153,"")</f>
        <v>Ruth Brooks</v>
      </c>
      <c r="D230" s="19" t="str">
        <f>IF(C230="","",IF(COUNTIF($B$189:$B$238,C230)&gt;0,C230,""))</f>
        <v>Ruth Brooks</v>
      </c>
    </row>
    <row r="231" spans="1:14">
      <c r="A231" s="19" t="str">
        <f>A154</f>
        <v>CUST043</v>
      </c>
      <c r="B231" s="19" t="str">
        <f>IF(COUNTIFS(rdCustID,A231,rdCat,$B$185)&gt;0,B154,"")</f>
        <v/>
      </c>
      <c r="C231" s="19" t="str">
        <f>IF(COUNTIFS(rdCustID,A231,rdCat,$B$186)&gt;0,B154,"")</f>
        <v/>
      </c>
      <c r="D231" s="19" t="str">
        <f>IF(C231="","",IF(COUNTIF($B$189:$B$238,C231)&gt;0,C231,""))</f>
        <v/>
      </c>
    </row>
    <row r="232" spans="1:14">
      <c r="A232" s="19" t="str">
        <f>A155</f>
        <v>CUST044</v>
      </c>
      <c r="B232" s="19" t="str">
        <f>IF(COUNTIFS(rdCustID,A232,rdCat,$B$185)&gt;0,B155,"")</f>
        <v>Cynthia Price</v>
      </c>
      <c r="C232" s="19" t="str">
        <f>IF(COUNTIFS(rdCustID,A232,rdCat,$B$186)&gt;0,B155,"")</f>
        <v>Cynthia Price</v>
      </c>
      <c r="D232" s="19" t="str">
        <f>IF(C232="","",IF(COUNTIF($B$189:$B$238,C232)&gt;0,C232,""))</f>
        <v>Cynthia Price</v>
      </c>
    </row>
    <row r="233" spans="1:14">
      <c r="A233" s="19" t="str">
        <f>A156</f>
        <v>CUST045</v>
      </c>
      <c r="B233" s="19" t="str">
        <f>IF(COUNTIFS(rdCustID,A233,rdCat,$B$185)&gt;0,B156,"")</f>
        <v>Douglas Watson</v>
      </c>
      <c r="C233" s="19" t="str">
        <f>IF(COUNTIFS(rdCustID,A233,rdCat,$B$186)&gt;0,B156,"")</f>
        <v/>
      </c>
      <c r="D233" s="19" t="str">
        <f>IF(C233="","",IF(COUNTIF($B$189:$B$238,C233)&gt;0,C233,""))</f>
        <v/>
      </c>
    </row>
    <row r="234" spans="1:14">
      <c r="A234" s="19" t="str">
        <f>A157</f>
        <v>CUST046</v>
      </c>
      <c r="B234" s="19" t="str">
        <f>IF(COUNTIFS(rdCustID,A234,rdCat,$B$185)&gt;0,B157,"")</f>
        <v>Kathleen Bennett</v>
      </c>
      <c r="C234" s="19" t="str">
        <f>IF(COUNTIFS(rdCustID,A234,rdCat,$B$186)&gt;0,B157,"")</f>
        <v>Kathleen Bennett</v>
      </c>
      <c r="D234" s="19" t="str">
        <f>IF(C234="","",IF(COUNTIF($B$189:$B$238,C234)&gt;0,C234,""))</f>
        <v>Kathleen Bennett</v>
      </c>
    </row>
    <row r="235" spans="1:14">
      <c r="A235" s="19" t="str">
        <f>A158</f>
        <v>CUST047</v>
      </c>
      <c r="B235" s="19" t="str">
        <f>IF(COUNTIFS(rdCustID,A235,rdCat,$B$185)&gt;0,B158,"")</f>
        <v>Gerald Murphy</v>
      </c>
      <c r="C235" s="19" t="str">
        <f>IF(COUNTIFS(rdCustID,A235,rdCat,$B$186)&gt;0,B158,"")</f>
        <v/>
      </c>
      <c r="D235" s="19" t="str">
        <f>IF(C235="","",IF(COUNTIF($B$189:$B$238,C235)&gt;0,C235,""))</f>
        <v/>
      </c>
    </row>
    <row r="236" spans="1:14">
      <c r="A236" s="19" t="str">
        <f>A159</f>
        <v>CUST048</v>
      </c>
      <c r="B236" s="19" t="str">
        <f>IF(COUNTIFS(rdCustID,A236,rdCat,$B$185)&gt;0,B159,"")</f>
        <v>Virginia Sanders</v>
      </c>
      <c r="C236" s="19" t="str">
        <f>IF(COUNTIFS(rdCustID,A236,rdCat,$B$186)&gt;0,B159,"")</f>
        <v>Virginia Sanders</v>
      </c>
      <c r="D236" s="19" t="str">
        <f>IF(C236="","",IF(COUNTIF($B$189:$B$238,C236)&gt;0,C236,""))</f>
        <v>Virginia Sanders</v>
      </c>
    </row>
    <row r="237" spans="1:14">
      <c r="A237" s="19" t="str">
        <f>A160</f>
        <v>CUST049</v>
      </c>
      <c r="B237" s="19" t="str">
        <f>IF(COUNTIFS(rdCustID,A237,rdCat,$B$185)&gt;0,B160,"")</f>
        <v>Raymond Ross</v>
      </c>
      <c r="C237" s="19" t="str">
        <f>IF(COUNTIFS(rdCustID,A237,rdCat,$B$186)&gt;0,B160,"")</f>
        <v/>
      </c>
      <c r="D237" s="19" t="str">
        <f>IF(C237="","",IF(COUNTIF($B$189:$B$238,C237)&gt;0,C237,""))</f>
        <v/>
      </c>
    </row>
    <row r="238" spans="1:14">
      <c r="A238" s="19" t="str">
        <f>A161</f>
        <v>CUST050</v>
      </c>
      <c r="B238" s="19" t="str">
        <f>IF(COUNTIFS(rdCustID,A238,rdCat,$B$185)&gt;0,B161,"")</f>
        <v/>
      </c>
      <c r="C238" s="19" t="str">
        <f>IF(COUNTIFS(rdCustID,A238,rdCat,$B$186)&gt;0,B161,"")</f>
        <v/>
      </c>
      <c r="D238" s="19" t="str">
        <f>IF(C238="","",IF(COUNTIF($B$189:$B$238,C238)&gt;0,C238,""))</f>
        <v/>
      </c>
    </row>
    <row r="240" spans="1:14" ht="20.100000000000001" customHeight="1">
      <c r="A240" s="11" t="s">
        <v>500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spans="1:14" ht="30" customHeight="1">
      <c r="A241" s="13" t="s">
        <v>501</v>
      </c>
      <c r="B241" s="13" t="s">
        <v>502</v>
      </c>
      <c r="C241" s="13" t="s">
        <v>503</v>
      </c>
    </row>
    <row r="242" spans="1:14">
      <c r="A242" s="19" t="s">
        <v>504</v>
      </c>
      <c r="B242" s="41" t="s">
        <v>505</v>
      </c>
      <c r="C242" s="42">
        <f ca="1">IF(B242&lt;&gt;"",IF(C242="",NOW(),C242),"")</f>
        <v>46310.942588888887</v>
      </c>
    </row>
    <row r="243" spans="1:14">
      <c r="A243" s="19" t="s">
        <v>506</v>
      </c>
      <c r="B243" s="41" t="s">
        <v>505</v>
      </c>
      <c r="C243" s="42">
        <f ca="1">IF(B243&lt;&gt;"",IF(C243="",NOW(),C243),"")</f>
        <v>46310.942588888887</v>
      </c>
    </row>
    <row r="244" spans="1:14">
      <c r="A244" s="19" t="s">
        <v>507</v>
      </c>
      <c r="B244" s="41" t="s">
        <v>505</v>
      </c>
      <c r="C244" s="42">
        <f ca="1">IF(B244&lt;&gt;"",IF(C244="",NOW(),C244),"")</f>
        <v>46310.942588888887</v>
      </c>
    </row>
    <row r="245" spans="1:14">
      <c r="A245" s="19" t="s">
        <v>508</v>
      </c>
      <c r="B245" s="41" t="s">
        <v>505</v>
      </c>
      <c r="C245" s="42">
        <f ca="1">IF(B245&lt;&gt;"",IF(C245="",NOW(),C245),"")</f>
        <v>46310.942588888887</v>
      </c>
    </row>
    <row r="246" spans="1:14">
      <c r="A246" s="19" t="s">
        <v>509</v>
      </c>
      <c r="B246" s="41"/>
      <c r="C246" s="42" t="str">
        <f ca="1">IF(B246&lt;&gt;"",IF(C246="",NOW(),C246),"")</f>
        <v/>
      </c>
    </row>
    <row r="247" spans="1:14">
      <c r="A247" s="8" t="s">
        <v>510</v>
      </c>
    </row>
    <row r="248" spans="1:14">
      <c r="A248" s="8" t="s">
        <v>511</v>
      </c>
    </row>
    <row r="249" spans="1:14">
      <c r="A249" s="43" t="s">
        <v>512</v>
      </c>
      <c r="B249" s="44">
        <f ca="1">NOW()</f>
        <v>46310.995957638886</v>
      </c>
    </row>
    <row r="251" spans="1:14" ht="20.100000000000001" customHeight="1">
      <c r="A251" s="11" t="s">
        <v>513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1:14">
      <c r="A252" s="14" t="s">
        <v>514</v>
      </c>
      <c r="B252" s="24">
        <f>SUM(rdAmt)</f>
        <v>229192.47000000032</v>
      </c>
    </row>
    <row r="254" spans="1:14">
      <c r="A254" s="40" t="s">
        <v>515</v>
      </c>
    </row>
    <row r="255" spans="1:14" ht="30" customHeight="1">
      <c r="A255" s="13" t="s">
        <v>516</v>
      </c>
      <c r="B255" s="13" t="s">
        <v>517</v>
      </c>
      <c r="C255" s="13" t="s">
        <v>518</v>
      </c>
      <c r="D255" s="13" t="s">
        <v>519</v>
      </c>
      <c r="E255" s="13" t="s">
        <v>520</v>
      </c>
    </row>
    <row r="256" spans="1:14">
      <c r="A256" s="19" t="s">
        <v>521</v>
      </c>
      <c r="B256" s="45">
        <v>-0.1</v>
      </c>
      <c r="C256" s="45">
        <v>0</v>
      </c>
      <c r="D256" s="45">
        <v>0.15</v>
      </c>
      <c r="E256" s="46">
        <f>INDEX(B256:D256,MATCH($B$258,$B$255:$D$255,0))</f>
        <v>0.15</v>
      </c>
    </row>
    <row r="257" spans="1:5">
      <c r="A257" s="19" t="s">
        <v>522</v>
      </c>
      <c r="B257" s="45">
        <v>-0.05</v>
      </c>
      <c r="C257" s="45">
        <v>0</v>
      </c>
      <c r="D257" s="45">
        <v>0.05</v>
      </c>
      <c r="E257" s="46">
        <f>INDEX(B257:D257,MATCH($B$258,$B$255:$D$255,0))</f>
        <v>0.05</v>
      </c>
    </row>
    <row r="258" spans="1:5">
      <c r="A258" s="14" t="s">
        <v>523</v>
      </c>
      <c r="B258" s="47" t="s">
        <v>519</v>
      </c>
    </row>
    <row r="260" spans="1:5">
      <c r="A260" s="40" t="s">
        <v>524</v>
      </c>
    </row>
    <row r="261" spans="1:5" ht="30" customHeight="1">
      <c r="A261" s="13" t="s">
        <v>525</v>
      </c>
      <c r="B261" s="13" t="s">
        <v>517</v>
      </c>
      <c r="C261" s="13" t="s">
        <v>518</v>
      </c>
      <c r="D261" s="13" t="s">
        <v>519</v>
      </c>
      <c r="E261" s="13" t="s">
        <v>520</v>
      </c>
    </row>
    <row r="262" spans="1:5">
      <c r="A262" s="19" t="s">
        <v>526</v>
      </c>
      <c r="B262" s="24">
        <f>$B$252*(1+B256)*(1+B257)</f>
        <v>195959.56185000026</v>
      </c>
      <c r="C262" s="24">
        <f>$B$252*(1+C256)*(1+C257)</f>
        <v>229192.47000000032</v>
      </c>
      <c r="D262" s="24">
        <f>$B$252*(1+D256)*(1+D257)</f>
        <v>276749.9075250004</v>
      </c>
      <c r="E262" s="24">
        <f>$B$252*(1+E256)*(1+E257)</f>
        <v>276749.9075250004</v>
      </c>
    </row>
    <row r="263" spans="1:5">
      <c r="A263" s="19" t="s">
        <v>527</v>
      </c>
      <c r="B263" s="48">
        <f>B262-$B$252</f>
        <v>-33232.908150000061</v>
      </c>
      <c r="C263" s="48">
        <f>C262-$B$252</f>
        <v>0</v>
      </c>
      <c r="D263" s="48">
        <f>D262-$B$252</f>
        <v>47557.437525000074</v>
      </c>
      <c r="E263" s="48">
        <f>E262-$B$252</f>
        <v>47557.437525000074</v>
      </c>
    </row>
    <row r="264" spans="1:5">
      <c r="A264" s="19" t="s">
        <v>528</v>
      </c>
      <c r="B264" s="49">
        <f>B262/$B$252-1</f>
        <v>-0.14500000000000002</v>
      </c>
      <c r="C264" s="49">
        <f>C262/$B$252-1</f>
        <v>0</v>
      </c>
      <c r="D264" s="49">
        <f>D262/$B$252-1</f>
        <v>0.20750000000000002</v>
      </c>
      <c r="E264" s="49">
        <f>E262/$B$252-1</f>
        <v>0.20750000000000002</v>
      </c>
    </row>
    <row r="266" spans="1:5">
      <c r="A266" s="40" t="s">
        <v>529</v>
      </c>
    </row>
    <row r="267" spans="1:5">
      <c r="A267" s="14" t="s">
        <v>530</v>
      </c>
      <c r="B267" s="50">
        <v>250000</v>
      </c>
    </row>
    <row r="268" spans="1:5">
      <c r="A268" s="14" t="s">
        <v>531</v>
      </c>
      <c r="B268" s="45">
        <v>0</v>
      </c>
    </row>
    <row r="269" spans="1:5">
      <c r="A269" s="14" t="s">
        <v>532</v>
      </c>
      <c r="B269" s="51">
        <v>9.0786272341320862E-2</v>
      </c>
      <c r="C269" s="8" t="s">
        <v>533</v>
      </c>
    </row>
    <row r="270" spans="1:5">
      <c r="A270" s="14" t="s">
        <v>534</v>
      </c>
      <c r="B270" s="24">
        <f>$B$252*(1+$B$269)*(1+$B$268)</f>
        <v>250000.00000000035</v>
      </c>
    </row>
    <row r="271" spans="1:5">
      <c r="A271" s="14" t="s">
        <v>535</v>
      </c>
      <c r="B271" s="52">
        <f>$B$270-$B$267</f>
        <v>3.4924596548080444E-10</v>
      </c>
    </row>
    <row r="272" spans="1:5">
      <c r="A272" s="14" t="s">
        <v>536</v>
      </c>
      <c r="B272" s="53">
        <f>$B$267/($B$252*(1+$B$268))-1</f>
        <v>9.0786272341319307E-2</v>
      </c>
    </row>
    <row r="275" spans="1:14" ht="20.100000000000001" customHeight="1">
      <c r="A275" s="11" t="s">
        <v>537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1:14">
      <c r="A276" s="8" t="s">
        <v>538</v>
      </c>
    </row>
    <row r="277" spans="1:14">
      <c r="A277" s="9" t="s">
        <v>539</v>
      </c>
    </row>
    <row r="278" spans="1:14" ht="30" customHeight="1">
      <c r="A278" s="13"/>
      <c r="B278" s="13" t="s">
        <v>21</v>
      </c>
      <c r="C278" s="13" t="s">
        <v>20</v>
      </c>
      <c r="D278" s="13" t="s">
        <v>540</v>
      </c>
    </row>
    <row r="279" spans="1:14">
      <c r="A279" s="19" t="s">
        <v>541</v>
      </c>
      <c r="B279" s="54">
        <f t="array" ref="B279:D283">IFERROR(LINEST(rdAmt,rdX,TRUE,TRUE),"")</f>
        <v>3.0416660405295799</v>
      </c>
      <c r="C279" s="54">
        <v>314.1458836929956</v>
      </c>
      <c r="D279" s="54">
        <v>-931.80858592721211</v>
      </c>
    </row>
    <row r="280" spans="1:14">
      <c r="A280" s="19" t="s">
        <v>542</v>
      </c>
      <c r="B280" s="54">
        <v>8.8733343256966732E-2</v>
      </c>
      <c r="C280" s="54">
        <v>18.242562242139332</v>
      </c>
      <c r="D280" s="54">
        <v>64.176586128214524</v>
      </c>
    </row>
    <row r="281" spans="1:14">
      <c r="A281" s="19" t="s">
        <v>543</v>
      </c>
      <c r="B281" s="54">
        <v>0.86275257544087425</v>
      </c>
      <c r="C281" s="54">
        <v>384.0374977385618</v>
      </c>
      <c r="D281" s="54" t="str">
        <v/>
      </c>
    </row>
    <row r="282" spans="1:14">
      <c r="A282" s="19" t="s">
        <v>544</v>
      </c>
      <c r="B282" s="54">
        <v>776.33473567328497</v>
      </c>
      <c r="C282" s="54">
        <v>247</v>
      </c>
      <c r="D282" s="54" t="str">
        <v/>
      </c>
    </row>
    <row r="283" spans="1:14">
      <c r="A283" s="19" t="s">
        <v>545</v>
      </c>
      <c r="B283" s="54">
        <v>228995145.93418038</v>
      </c>
      <c r="C283" s="54">
        <v>36428745.518316083</v>
      </c>
      <c r="D283" s="54" t="str">
        <v/>
      </c>
    </row>
    <row r="285" spans="1:14">
      <c r="A285" s="40" t="s">
        <v>546</v>
      </c>
    </row>
    <row r="286" spans="1:14">
      <c r="A286" s="55" t="s">
        <v>547</v>
      </c>
      <c r="B286" s="56"/>
    </row>
    <row r="287" spans="1:14">
      <c r="A287" s="19" t="s">
        <v>548</v>
      </c>
      <c r="B287" s="57">
        <f>SQRT($B$281)</f>
        <v>0.92884475314278125</v>
      </c>
    </row>
    <row r="288" spans="1:14">
      <c r="A288" s="19" t="s">
        <v>549</v>
      </c>
      <c r="B288" s="57">
        <f>$B$281</f>
        <v>0.86275257544087425</v>
      </c>
    </row>
    <row r="289" spans="1:7">
      <c r="A289" s="19" t="s">
        <v>550</v>
      </c>
      <c r="B289" s="57">
        <f>1-(1-$B$281)*(COUNT(rdAmt)-1)/$C$282</f>
        <v>0.86164126026225785</v>
      </c>
    </row>
    <row r="290" spans="1:7">
      <c r="A290" s="19" t="s">
        <v>551</v>
      </c>
      <c r="B290" s="57">
        <f>$C$281</f>
        <v>384.0374977385618</v>
      </c>
    </row>
    <row r="291" spans="1:7">
      <c r="A291" s="19" t="s">
        <v>552</v>
      </c>
      <c r="B291" s="25">
        <f>COUNT(rdAmt)</f>
        <v>250</v>
      </c>
    </row>
    <row r="293" spans="1:7">
      <c r="A293" s="9" t="s">
        <v>553</v>
      </c>
    </row>
    <row r="294" spans="1:7" ht="30" customHeight="1">
      <c r="A294" s="13"/>
      <c r="B294" s="13" t="s">
        <v>554</v>
      </c>
      <c r="C294" s="13" t="s">
        <v>555</v>
      </c>
      <c r="D294" s="13" t="s">
        <v>556</v>
      </c>
      <c r="E294" s="13" t="s">
        <v>557</v>
      </c>
      <c r="F294" s="13" t="s">
        <v>558</v>
      </c>
    </row>
    <row r="295" spans="1:7">
      <c r="A295" s="19" t="s">
        <v>559</v>
      </c>
      <c r="B295" s="25">
        <v>2</v>
      </c>
      <c r="C295" s="58">
        <f>$B$283</f>
        <v>228995145.93418038</v>
      </c>
      <c r="D295" s="58">
        <f>C295/B295</f>
        <v>114497572.96709019</v>
      </c>
      <c r="E295" s="58">
        <f>$B$282</f>
        <v>776.33473567328497</v>
      </c>
      <c r="F295" s="59">
        <f>FDIST(E295,B295,B296)</f>
        <v>3.0322789780406021E-107</v>
      </c>
    </row>
    <row r="296" spans="1:7">
      <c r="A296" s="19" t="s">
        <v>560</v>
      </c>
      <c r="B296" s="25">
        <f>$C$282</f>
        <v>247</v>
      </c>
      <c r="C296" s="58">
        <f>$C$283</f>
        <v>36428745.518316083</v>
      </c>
      <c r="D296" s="58">
        <f>C296/B296</f>
        <v>147484.79966929587</v>
      </c>
    </row>
    <row r="297" spans="1:7">
      <c r="A297" s="19" t="s">
        <v>453</v>
      </c>
      <c r="B297" s="25">
        <f>B295+B296</f>
        <v>249</v>
      </c>
      <c r="C297" s="58">
        <f>C295+C296</f>
        <v>265423891.45249647</v>
      </c>
    </row>
    <row r="299" spans="1:7" ht="30" customHeight="1">
      <c r="A299" s="13"/>
      <c r="B299" s="13" t="s">
        <v>541</v>
      </c>
      <c r="C299" s="13" t="s">
        <v>551</v>
      </c>
      <c r="D299" s="13" t="s">
        <v>561</v>
      </c>
      <c r="E299" s="13" t="s">
        <v>562</v>
      </c>
      <c r="F299" s="13" t="s">
        <v>563</v>
      </c>
      <c r="G299" s="13" t="s">
        <v>564</v>
      </c>
    </row>
    <row r="300" spans="1:7">
      <c r="A300" s="19" t="s">
        <v>540</v>
      </c>
      <c r="B300" s="57">
        <f>$D$279</f>
        <v>-931.80858592721211</v>
      </c>
      <c r="C300" s="57">
        <f>$D$280</f>
        <v>64.176586128214524</v>
      </c>
      <c r="D300" s="57">
        <f>B300/C300</f>
        <v>-14.519447701153938</v>
      </c>
      <c r="E300" s="59">
        <f>TDIST(ABS(D300),$B$296,2)</f>
        <v>5.9491879084023646E-35</v>
      </c>
      <c r="F300" s="57">
        <f>B300-TINV(0.05,$B$296)*C300</f>
        <v>-1058.211736902633</v>
      </c>
      <c r="G300" s="57">
        <f>B300+TINV(0.05,$B$296)*C300</f>
        <v>-805.40543495179111</v>
      </c>
    </row>
    <row r="301" spans="1:7">
      <c r="A301" s="19" t="s">
        <v>20</v>
      </c>
      <c r="B301" s="57">
        <f>$C$279</f>
        <v>314.1458836929956</v>
      </c>
      <c r="C301" s="57">
        <f>$C$280</f>
        <v>18.242562242139332</v>
      </c>
      <c r="D301" s="57">
        <f>B301/C301</f>
        <v>17.220491262314873</v>
      </c>
      <c r="E301" s="59">
        <f>TDIST(ABS(D301),$B$296,2)</f>
        <v>3.4020507945743832E-44</v>
      </c>
      <c r="F301" s="57">
        <f>B301-TINV(0.05,$B$296)*C301</f>
        <v>278.21506392852888</v>
      </c>
      <c r="G301" s="57">
        <f>B301+TINV(0.05,$B$296)*C301</f>
        <v>350.07670345746232</v>
      </c>
    </row>
    <row r="302" spans="1:7">
      <c r="A302" s="19" t="s">
        <v>21</v>
      </c>
      <c r="B302" s="57">
        <f>$B$279</f>
        <v>3.0416660405295799</v>
      </c>
      <c r="C302" s="57">
        <f>$B$280</f>
        <v>8.8733343256966732E-2</v>
      </c>
      <c r="D302" s="57">
        <f>B302/C302</f>
        <v>34.278726901127655</v>
      </c>
      <c r="E302" s="59">
        <f>TDIST(ABS(D302),$B$296,2)</f>
        <v>7.2446245379651108E-96</v>
      </c>
      <c r="F302" s="57">
        <f>B302-TINV(0.05,$B$296)*C302</f>
        <v>2.8668955383739165</v>
      </c>
      <c r="G302" s="57">
        <f>B302+TINV(0.05,$B$296)*C302</f>
        <v>3.2164365426852433</v>
      </c>
    </row>
    <row r="304" spans="1:7">
      <c r="A304" s="8" t="str">
        <f>"Reading the result: each extra unit sold adds about "&amp;TEXT(B301,"[&gt;=10000000]\₹##\,##\,##\,##0.00;[&gt;=100000]\₹##\,##\,##0.00;\₹#,##0.00")&amp;" to a transaction and each ₹1 of unit price adds about "&amp;TEXT(B302,"\₹0.00")&amp;"; the model explains "&amp;TEXT(B288,"0.0%")&amp;" of the variation in transaction value (Significance F = "&amp;TEXT(F295,"0.0E+00")&amp;")."</f>
        <v>Reading the result: each extra unit sold adds about ₹314.15 to a transaction and each ₹1 of unit price adds about ₹3.04; the model explains 86.3% of the variation in transaction value (Significance F = 3.0E-107).</v>
      </c>
    </row>
    <row r="307" spans="1:14" ht="20.100000000000001" customHeight="1">
      <c r="A307" s="11" t="s">
        <v>565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1:14">
      <c r="A308" s="14" t="s">
        <v>566</v>
      </c>
      <c r="B308" s="41" t="s">
        <v>567</v>
      </c>
    </row>
    <row r="309" spans="1:14">
      <c r="A309" s="14" t="s">
        <v>568</v>
      </c>
      <c r="B309" s="41" t="s">
        <v>567</v>
      </c>
    </row>
    <row r="310" spans="1:14">
      <c r="A310" s="14" t="s">
        <v>569</v>
      </c>
      <c r="B310" s="25">
        <f>COUNTIFS(rdReg,IF($B$308="All","*",$B$308),rdCat,IF($B$309="All","*",$B$309))</f>
        <v>250</v>
      </c>
    </row>
    <row r="312" spans="1:14">
      <c r="A312" s="3" t="str">
        <f>'Raw Data'!A1</f>
        <v>Transaction_ID</v>
      </c>
      <c r="B312" s="3" t="str">
        <f>'Raw Data'!B1</f>
        <v>Date</v>
      </c>
      <c r="C312" s="3" t="str">
        <f>'Raw Data'!C1</f>
        <v>Customer_ID</v>
      </c>
      <c r="D312" s="3" t="str">
        <f>'Raw Data'!D1</f>
        <v>Customer_Name</v>
      </c>
      <c r="E312" s="3" t="str">
        <f>'Raw Data'!E1</f>
        <v>Product_ID</v>
      </c>
      <c r="F312" s="3" t="str">
        <f>'Raw Data'!F1</f>
        <v>Product_Name</v>
      </c>
      <c r="G312" s="3" t="str">
        <f>'Raw Data'!G1</f>
        <v>Category</v>
      </c>
      <c r="H312" s="3" t="str">
        <f>'Raw Data'!H1</f>
        <v>Quantity</v>
      </c>
      <c r="I312" s="3" t="str">
        <f>'Raw Data'!I1</f>
        <v>Unit_Price</v>
      </c>
      <c r="J312" s="3" t="str">
        <f>'Raw Data'!J1</f>
        <v>Payment_Method</v>
      </c>
      <c r="K312" s="3" t="str">
        <f>'Raw Data'!K1</f>
        <v>Region</v>
      </c>
      <c r="L312" s="3" t="str">
        <f>'Raw Data'!L1</f>
        <v>Customer_Segment</v>
      </c>
      <c r="M312" s="3" t="str">
        <f>'Raw Data'!M1</f>
        <v>Customer_Since</v>
      </c>
      <c r="N312" s="3" t="str">
        <f>'Raw Data'!N1</f>
        <v>Total_Amount</v>
      </c>
    </row>
    <row r="313" spans="1:14">
      <c r="A313" s="4" t="str">
        <f t="array" ref="A313:N562">IFERROR(_xlfn._xlws.FILTER('Raw Data'!$A$2:$N$251,(((rdReg=$B$308)+($B$308="All"))&gt;0)*(((rdCat=$B$309)+($B$309="All"))&gt;0),""),"")</f>
        <v>TRX0155</v>
      </c>
      <c r="B313" s="5">
        <v>45393</v>
      </c>
      <c r="C313" s="4" t="str">
        <v>CUST023</v>
      </c>
      <c r="D313" s="4" t="str">
        <v>Paul Baker</v>
      </c>
      <c r="E313" s="4" t="str">
        <v>P009</v>
      </c>
      <c r="F313" s="4" t="str">
        <v>Monitor</v>
      </c>
      <c r="G313" s="4" t="str">
        <v>Electronics</v>
      </c>
      <c r="H313" s="4">
        <v>3</v>
      </c>
      <c r="I313" s="6">
        <v>249.99</v>
      </c>
      <c r="J313" s="4" t="str">
        <v>Cash</v>
      </c>
      <c r="K313" s="4" t="str">
        <v>Central</v>
      </c>
      <c r="L313" s="4" t="str">
        <v>Basic</v>
      </c>
      <c r="M313" s="5">
        <v>44425</v>
      </c>
      <c r="N313" s="6">
        <v>749.97</v>
      </c>
    </row>
    <row r="314" spans="1:14">
      <c r="A314" s="4" t="str">
        <v>TRX0023</v>
      </c>
      <c r="B314" s="5">
        <v>45396</v>
      </c>
      <c r="C314" s="4" t="str">
        <v>CUST013</v>
      </c>
      <c r="D314" s="4" t="str">
        <v>Joseph Jackson</v>
      </c>
      <c r="E314" s="4" t="str">
        <v>P009</v>
      </c>
      <c r="F314" s="4" t="str">
        <v>Monitor</v>
      </c>
      <c r="G314" s="4" t="str">
        <v>Electronics</v>
      </c>
      <c r="H314" s="4">
        <v>3</v>
      </c>
      <c r="I314" s="6">
        <v>249.99</v>
      </c>
      <c r="J314" s="4" t="str">
        <v>Credit Card</v>
      </c>
      <c r="K314" s="4" t="str">
        <v>Central</v>
      </c>
      <c r="L314" s="4" t="str">
        <v>Premium</v>
      </c>
      <c r="M314" s="5">
        <v>44575</v>
      </c>
      <c r="N314" s="6">
        <v>749.97</v>
      </c>
    </row>
    <row r="315" spans="1:14">
      <c r="A315" s="4" t="str">
        <v>TRX0139</v>
      </c>
      <c r="B315" s="5">
        <v>45399</v>
      </c>
      <c r="C315" s="4" t="str">
        <v>CUST021</v>
      </c>
      <c r="D315" s="4" t="str">
        <v>Kevin Scott</v>
      </c>
      <c r="E315" s="4" t="str">
        <v>P005</v>
      </c>
      <c r="F315" s="4" t="str">
        <v>Blender</v>
      </c>
      <c r="G315" s="4" t="str">
        <v>Appliances</v>
      </c>
      <c r="H315" s="4">
        <v>3</v>
      </c>
      <c r="I315" s="6">
        <v>59.99</v>
      </c>
      <c r="J315" s="4" t="str">
        <v>PayPal</v>
      </c>
      <c r="K315" s="4" t="str">
        <v>South</v>
      </c>
      <c r="L315" s="4" t="str">
        <v>Standard</v>
      </c>
      <c r="M315" s="5">
        <v>45262</v>
      </c>
      <c r="N315" s="6">
        <v>179.97</v>
      </c>
    </row>
    <row r="316" spans="1:14">
      <c r="A316" s="4" t="str">
        <v>TRX0043</v>
      </c>
      <c r="B316" s="5">
        <v>45400</v>
      </c>
      <c r="C316" s="4" t="str">
        <v>CUST046</v>
      </c>
      <c r="D316" s="4" t="str">
        <v>Kathleen Bennett</v>
      </c>
      <c r="E316" s="4" t="str">
        <v>P005</v>
      </c>
      <c r="F316" s="4" t="str">
        <v>Blender</v>
      </c>
      <c r="G316" s="4" t="str">
        <v>Appliances</v>
      </c>
      <c r="H316" s="4">
        <v>3</v>
      </c>
      <c r="I316" s="6">
        <v>59.99</v>
      </c>
      <c r="J316" s="4" t="str">
        <v>Cash</v>
      </c>
      <c r="K316" s="4" t="str">
        <v>North</v>
      </c>
      <c r="L316" s="4" t="str">
        <v>Premium</v>
      </c>
      <c r="M316" s="5">
        <v>45114</v>
      </c>
      <c r="N316" s="6">
        <v>179.97</v>
      </c>
    </row>
    <row r="317" spans="1:14">
      <c r="A317" s="4" t="str">
        <v>TRX0212</v>
      </c>
      <c r="B317" s="5">
        <v>45400</v>
      </c>
      <c r="C317" s="4" t="str">
        <v>CUST003</v>
      </c>
      <c r="D317" s="4" t="str">
        <v>Michael Brown</v>
      </c>
      <c r="E317" s="4" t="str">
        <v>P008</v>
      </c>
      <c r="F317" s="4" t="str">
        <v>Bookshelf</v>
      </c>
      <c r="G317" s="4" t="str">
        <v>Furniture</v>
      </c>
      <c r="H317" s="4">
        <v>5</v>
      </c>
      <c r="I317" s="6">
        <v>149.99</v>
      </c>
      <c r="J317" s="4" t="str">
        <v>Credit Card</v>
      </c>
      <c r="K317" s="4" t="str">
        <v>North</v>
      </c>
      <c r="L317" s="4" t="str">
        <v>Premium</v>
      </c>
      <c r="M317" s="5">
        <v>45295</v>
      </c>
      <c r="N317" s="6">
        <v>749.95</v>
      </c>
    </row>
    <row r="318" spans="1:14">
      <c r="A318" s="4" t="str">
        <v>TRX0092</v>
      </c>
      <c r="B318" s="5">
        <v>45403</v>
      </c>
      <c r="C318" s="4" t="str">
        <v>CUST024</v>
      </c>
      <c r="D318" s="4" t="str">
        <v>Dorothy Nelson</v>
      </c>
      <c r="E318" s="4" t="str">
        <v>P005</v>
      </c>
      <c r="F318" s="4" t="str">
        <v>Blender</v>
      </c>
      <c r="G318" s="4" t="str">
        <v>Appliances</v>
      </c>
      <c r="H318" s="4">
        <v>2</v>
      </c>
      <c r="I318" s="6">
        <v>59.99</v>
      </c>
      <c r="J318" s="4" t="str">
        <v>Cash</v>
      </c>
      <c r="K318" s="4" t="str">
        <v>West</v>
      </c>
      <c r="L318" s="4" t="str">
        <v>Standard</v>
      </c>
      <c r="M318" s="5">
        <v>44746</v>
      </c>
      <c r="N318" s="6">
        <v>119.98</v>
      </c>
    </row>
    <row r="319" spans="1:14">
      <c r="A319" s="4" t="str">
        <v>TRX0193</v>
      </c>
      <c r="B319" s="5">
        <v>45403</v>
      </c>
      <c r="C319" s="4" t="str">
        <v>CUST024</v>
      </c>
      <c r="D319" s="4" t="str">
        <v>Dorothy Nelson</v>
      </c>
      <c r="E319" s="4" t="str">
        <v>P003</v>
      </c>
      <c r="F319" s="4" t="str">
        <v>Headphones</v>
      </c>
      <c r="G319" s="4" t="str">
        <v>Electronics</v>
      </c>
      <c r="H319" s="4">
        <v>5</v>
      </c>
      <c r="I319" s="6">
        <v>149.99</v>
      </c>
      <c r="J319" s="4" t="str">
        <v>Credit Card</v>
      </c>
      <c r="K319" s="4" t="str">
        <v>Central</v>
      </c>
      <c r="L319" s="4" t="str">
        <v>Standard</v>
      </c>
      <c r="M319" s="5">
        <v>44418</v>
      </c>
      <c r="N319" s="6">
        <v>749.95</v>
      </c>
    </row>
    <row r="320" spans="1:14">
      <c r="A320" s="4" t="str">
        <v>TRX0240</v>
      </c>
      <c r="B320" s="5">
        <v>45403</v>
      </c>
      <c r="C320" s="4" t="str">
        <v>CUST017</v>
      </c>
      <c r="D320" s="4" t="str">
        <v>Charles Allen</v>
      </c>
      <c r="E320" s="4" t="str">
        <v>P005</v>
      </c>
      <c r="F320" s="4" t="str">
        <v>Blender</v>
      </c>
      <c r="G320" s="4" t="str">
        <v>Appliances</v>
      </c>
      <c r="H320" s="4">
        <v>3</v>
      </c>
      <c r="I320" s="6">
        <v>59.99</v>
      </c>
      <c r="J320" s="4" t="str">
        <v>Debit Card</v>
      </c>
      <c r="K320" s="4" t="str">
        <v>South</v>
      </c>
      <c r="L320" s="4" t="str">
        <v>Basic</v>
      </c>
      <c r="M320" s="5">
        <v>45007</v>
      </c>
      <c r="N320" s="6">
        <v>179.97</v>
      </c>
    </row>
    <row r="321" spans="1:14">
      <c r="A321" s="4" t="str">
        <v>TRX0135</v>
      </c>
      <c r="B321" s="5">
        <v>45405</v>
      </c>
      <c r="C321" s="4" t="str">
        <v>CUST009</v>
      </c>
      <c r="D321" s="4" t="str">
        <v>Robert Thomas</v>
      </c>
      <c r="E321" s="4" t="str">
        <v>P001</v>
      </c>
      <c r="F321" s="4" t="str">
        <v>Laptop</v>
      </c>
      <c r="G321" s="4" t="str">
        <v>Electronics</v>
      </c>
      <c r="H321" s="4">
        <v>3</v>
      </c>
      <c r="I321" s="6">
        <v>899.99</v>
      </c>
      <c r="J321" s="4" t="str">
        <v>PayPal</v>
      </c>
      <c r="K321" s="4" t="str">
        <v>East</v>
      </c>
      <c r="L321" s="4" t="str">
        <v>Standard</v>
      </c>
      <c r="M321" s="5">
        <v>45299</v>
      </c>
      <c r="N321" s="6">
        <v>2699.97</v>
      </c>
    </row>
    <row r="322" spans="1:14">
      <c r="A322" s="4" t="str">
        <v>TRX0185</v>
      </c>
      <c r="B322" s="5">
        <v>45408</v>
      </c>
      <c r="C322" s="4" t="str">
        <v>CUST026</v>
      </c>
      <c r="D322" s="4" t="str">
        <v>Karen Hill</v>
      </c>
      <c r="E322" s="4" t="str">
        <v>P005</v>
      </c>
      <c r="F322" s="4" t="str">
        <v>Blender</v>
      </c>
      <c r="G322" s="4" t="str">
        <v>Appliances</v>
      </c>
      <c r="H322" s="4">
        <v>3</v>
      </c>
      <c r="I322" s="6">
        <v>59.99</v>
      </c>
      <c r="J322" s="4" t="str">
        <v>Cash</v>
      </c>
      <c r="K322" s="4" t="str">
        <v>West</v>
      </c>
      <c r="L322" s="4" t="str">
        <v>Premium</v>
      </c>
      <c r="M322" s="5">
        <v>45207</v>
      </c>
      <c r="N322" s="6">
        <v>179.97</v>
      </c>
    </row>
    <row r="323" spans="1:14">
      <c r="A323" s="4" t="str">
        <v>TRX0138</v>
      </c>
      <c r="B323" s="5">
        <v>45408</v>
      </c>
      <c r="C323" s="4" t="str">
        <v>CUST022</v>
      </c>
      <c r="D323" s="4" t="str">
        <v>Susan Green</v>
      </c>
      <c r="E323" s="4" t="str">
        <v>P008</v>
      </c>
      <c r="F323" s="4" t="str">
        <v>Bookshelf</v>
      </c>
      <c r="G323" s="4" t="str">
        <v>Furniture</v>
      </c>
      <c r="H323" s="4">
        <v>1</v>
      </c>
      <c r="I323" s="6">
        <v>149.99</v>
      </c>
      <c r="J323" s="4" t="str">
        <v>Credit Card</v>
      </c>
      <c r="K323" s="4" t="str">
        <v>West</v>
      </c>
      <c r="L323" s="4" t="str">
        <v>Standard</v>
      </c>
      <c r="M323" s="5">
        <v>45103</v>
      </c>
      <c r="N323" s="6">
        <v>149.99</v>
      </c>
    </row>
    <row r="324" spans="1:14">
      <c r="A324" s="4" t="str">
        <v>TRX0209</v>
      </c>
      <c r="B324" s="5">
        <v>45408</v>
      </c>
      <c r="C324" s="4" t="str">
        <v>CUST046</v>
      </c>
      <c r="D324" s="4" t="str">
        <v>Kathleen Bennett</v>
      </c>
      <c r="E324" s="4" t="str">
        <v>P008</v>
      </c>
      <c r="F324" s="4" t="str">
        <v>Bookshelf</v>
      </c>
      <c r="G324" s="4" t="str">
        <v>Furniture</v>
      </c>
      <c r="H324" s="4">
        <v>5</v>
      </c>
      <c r="I324" s="6">
        <v>149.99</v>
      </c>
      <c r="J324" s="4" t="str">
        <v>Debit Card</v>
      </c>
      <c r="K324" s="4" t="str">
        <v>North</v>
      </c>
      <c r="L324" s="4" t="str">
        <v>Basic</v>
      </c>
      <c r="M324" s="5">
        <v>44830</v>
      </c>
      <c r="N324" s="6">
        <v>749.95</v>
      </c>
    </row>
    <row r="325" spans="1:14">
      <c r="A325" s="4" t="str">
        <v>TRX0246</v>
      </c>
      <c r="B325" s="5">
        <v>45408</v>
      </c>
      <c r="C325" s="4" t="str">
        <v>CUST041</v>
      </c>
      <c r="D325" s="4" t="str">
        <v>Peter Richardson</v>
      </c>
      <c r="E325" s="4" t="str">
        <v>P008</v>
      </c>
      <c r="F325" s="4" t="str">
        <v>Bookshelf</v>
      </c>
      <c r="G325" s="4" t="str">
        <v>Furniture</v>
      </c>
      <c r="H325" s="4">
        <v>3</v>
      </c>
      <c r="I325" s="6">
        <v>149.99</v>
      </c>
      <c r="J325" s="4" t="str">
        <v>Cash</v>
      </c>
      <c r="K325" s="4" t="str">
        <v>North</v>
      </c>
      <c r="L325" s="4" t="str">
        <v>Premium</v>
      </c>
      <c r="M325" s="5">
        <v>44806</v>
      </c>
      <c r="N325" s="6">
        <v>449.97</v>
      </c>
    </row>
    <row r="326" spans="1:14">
      <c r="A326" s="4" t="str">
        <v>TRX0067</v>
      </c>
      <c r="B326" s="5">
        <v>45409</v>
      </c>
      <c r="C326" s="4" t="str">
        <v>CUST043</v>
      </c>
      <c r="D326" s="4" t="str">
        <v>Dennis Gray</v>
      </c>
      <c r="E326" s="4" t="str">
        <v>P005</v>
      </c>
      <c r="F326" s="4" t="str">
        <v>Blender</v>
      </c>
      <c r="G326" s="4" t="str">
        <v>Appliances</v>
      </c>
      <c r="H326" s="4">
        <v>3</v>
      </c>
      <c r="I326" s="6">
        <v>59.99</v>
      </c>
      <c r="J326" s="4" t="str">
        <v>Credit Card</v>
      </c>
      <c r="K326" s="4" t="str">
        <v>North</v>
      </c>
      <c r="L326" s="4" t="str">
        <v>Standard</v>
      </c>
      <c r="M326" s="5">
        <v>45351</v>
      </c>
      <c r="N326" s="6">
        <v>179.97</v>
      </c>
    </row>
    <row r="327" spans="1:14">
      <c r="A327" s="4" t="str">
        <v>TRX0191</v>
      </c>
      <c r="B327" s="5">
        <v>45409</v>
      </c>
      <c r="C327" s="4" t="str">
        <v>CUST038</v>
      </c>
      <c r="D327" s="4" t="str">
        <v>Michelle Rogers</v>
      </c>
      <c r="E327" s="4" t="str">
        <v>P002</v>
      </c>
      <c r="F327" s="4" t="str">
        <v>Smartphone</v>
      </c>
      <c r="G327" s="4" t="str">
        <v>Electronics</v>
      </c>
      <c r="H327" s="4">
        <v>3</v>
      </c>
      <c r="I327" s="6">
        <v>699.99</v>
      </c>
      <c r="J327" s="4" t="str">
        <v>Credit Card</v>
      </c>
      <c r="K327" s="4" t="str">
        <v>West</v>
      </c>
      <c r="L327" s="4" t="str">
        <v>Basic</v>
      </c>
      <c r="M327" s="5">
        <v>44577</v>
      </c>
      <c r="N327" s="6">
        <v>2099.9699999999998</v>
      </c>
    </row>
    <row r="328" spans="1:14">
      <c r="A328" s="4" t="str">
        <v>TRX0230</v>
      </c>
      <c r="B328" s="5">
        <v>45409</v>
      </c>
      <c r="C328" s="4" t="str">
        <v>CUST027</v>
      </c>
      <c r="D328" s="4" t="str">
        <v>George Adams</v>
      </c>
      <c r="E328" s="4" t="str">
        <v>P001</v>
      </c>
      <c r="F328" s="4" t="str">
        <v>Laptop</v>
      </c>
      <c r="G328" s="4" t="str">
        <v>Electronics</v>
      </c>
      <c r="H328" s="4">
        <v>1</v>
      </c>
      <c r="I328" s="6">
        <v>899.99</v>
      </c>
      <c r="J328" s="4" t="str">
        <v>Debit Card</v>
      </c>
      <c r="K328" s="4" t="str">
        <v>North</v>
      </c>
      <c r="L328" s="4" t="str">
        <v>Standard</v>
      </c>
      <c r="M328" s="5">
        <v>44920</v>
      </c>
      <c r="N328" s="6">
        <v>899.99</v>
      </c>
    </row>
    <row r="329" spans="1:14">
      <c r="A329" s="4" t="str">
        <v>TRX0049</v>
      </c>
      <c r="B329" s="5">
        <v>45410</v>
      </c>
      <c r="C329" s="4" t="str">
        <v>CUST025</v>
      </c>
      <c r="D329" s="4" t="str">
        <v>Mark Carter</v>
      </c>
      <c r="E329" s="4" t="str">
        <v>P008</v>
      </c>
      <c r="F329" s="4" t="str">
        <v>Bookshelf</v>
      </c>
      <c r="G329" s="4" t="str">
        <v>Furniture</v>
      </c>
      <c r="H329" s="4">
        <v>4</v>
      </c>
      <c r="I329" s="6">
        <v>149.99</v>
      </c>
      <c r="J329" s="4" t="str">
        <v>Debit Card</v>
      </c>
      <c r="K329" s="4" t="str">
        <v>North</v>
      </c>
      <c r="L329" s="4" t="str">
        <v>Premium</v>
      </c>
      <c r="M329" s="5">
        <v>45374</v>
      </c>
      <c r="N329" s="6">
        <v>599.96</v>
      </c>
    </row>
    <row r="330" spans="1:14">
      <c r="A330" s="4" t="str">
        <v>TRX0134</v>
      </c>
      <c r="B330" s="5">
        <v>45410</v>
      </c>
      <c r="C330" s="4" t="str">
        <v>CUST010</v>
      </c>
      <c r="D330" s="4" t="str">
        <v>Maria Garcia</v>
      </c>
      <c r="E330" s="4" t="str">
        <v>P002</v>
      </c>
      <c r="F330" s="4" t="str">
        <v>Smartphone</v>
      </c>
      <c r="G330" s="4" t="str">
        <v>Electronics</v>
      </c>
      <c r="H330" s="4">
        <v>2</v>
      </c>
      <c r="I330" s="6">
        <v>699.99</v>
      </c>
      <c r="J330" s="4" t="str">
        <v>Cash</v>
      </c>
      <c r="K330" s="4" t="str">
        <v>North</v>
      </c>
      <c r="L330" s="4" t="str">
        <v>Basic</v>
      </c>
      <c r="M330" s="5">
        <v>44781</v>
      </c>
      <c r="N330" s="6">
        <v>1399.98</v>
      </c>
    </row>
    <row r="331" spans="1:14">
      <c r="A331" s="4" t="str">
        <v>TRX0122</v>
      </c>
      <c r="B331" s="5">
        <v>45410</v>
      </c>
      <c r="C331" s="4" t="str">
        <v>CUST025</v>
      </c>
      <c r="D331" s="4" t="str">
        <v>Mark Carter</v>
      </c>
      <c r="E331" s="4" t="str">
        <v>P001</v>
      </c>
      <c r="F331" s="4" t="str">
        <v>Laptop</v>
      </c>
      <c r="G331" s="4" t="str">
        <v>Electronics</v>
      </c>
      <c r="H331" s="4">
        <v>4</v>
      </c>
      <c r="I331" s="6">
        <v>899.99</v>
      </c>
      <c r="J331" s="4" t="str">
        <v>Credit Card</v>
      </c>
      <c r="K331" s="4" t="str">
        <v>West</v>
      </c>
      <c r="L331" s="4" t="str">
        <v>Standard</v>
      </c>
      <c r="M331" s="5">
        <v>45327</v>
      </c>
      <c r="N331" s="6">
        <v>3599.96</v>
      </c>
    </row>
    <row r="332" spans="1:14">
      <c r="A332" s="4" t="str">
        <v>TRX0222</v>
      </c>
      <c r="B332" s="5">
        <v>45410</v>
      </c>
      <c r="C332" s="4" t="str">
        <v>CUST048</v>
      </c>
      <c r="D332" s="4" t="str">
        <v>Virginia Sanders</v>
      </c>
      <c r="E332" s="4" t="str">
        <v>P009</v>
      </c>
      <c r="F332" s="4" t="str">
        <v>Monitor</v>
      </c>
      <c r="G332" s="4" t="str">
        <v>Electronics</v>
      </c>
      <c r="H332" s="4">
        <v>3</v>
      </c>
      <c r="I332" s="6">
        <v>249.99</v>
      </c>
      <c r="J332" s="4" t="str">
        <v>Credit Card</v>
      </c>
      <c r="K332" s="4" t="str">
        <v>North</v>
      </c>
      <c r="L332" s="4" t="str">
        <v>Premium</v>
      </c>
      <c r="M332" s="5">
        <v>45224</v>
      </c>
      <c r="N332" s="6">
        <v>749.97</v>
      </c>
    </row>
    <row r="333" spans="1:14">
      <c r="A333" s="4" t="str">
        <v>TRX0231</v>
      </c>
      <c r="B333" s="5">
        <v>45412</v>
      </c>
      <c r="C333" s="4" t="str">
        <v>CUST018</v>
      </c>
      <c r="D333" s="4" t="str">
        <v>Barbara Young</v>
      </c>
      <c r="E333" s="4" t="str">
        <v>P002</v>
      </c>
      <c r="F333" s="4" t="str">
        <v>Smartphone</v>
      </c>
      <c r="G333" s="4" t="str">
        <v>Electronics</v>
      </c>
      <c r="H333" s="4">
        <v>5</v>
      </c>
      <c r="I333" s="6">
        <v>699.99</v>
      </c>
      <c r="J333" s="4" t="str">
        <v>Cash</v>
      </c>
      <c r="K333" s="4" t="str">
        <v>West</v>
      </c>
      <c r="L333" s="4" t="str">
        <v>Basic</v>
      </c>
      <c r="M333" s="5">
        <v>45167</v>
      </c>
      <c r="N333" s="6">
        <v>3499.95</v>
      </c>
    </row>
    <row r="334" spans="1:14">
      <c r="A334" s="4" t="str">
        <v>TRX0239</v>
      </c>
      <c r="B334" s="5">
        <v>45413</v>
      </c>
      <c r="C334" s="4" t="str">
        <v>CUST012</v>
      </c>
      <c r="D334" s="4" t="str">
        <v>Patricia Moore</v>
      </c>
      <c r="E334" s="4" t="str">
        <v>P002</v>
      </c>
      <c r="F334" s="4" t="str">
        <v>Smartphone</v>
      </c>
      <c r="G334" s="4" t="str">
        <v>Electronics</v>
      </c>
      <c r="H334" s="4">
        <v>4</v>
      </c>
      <c r="I334" s="6">
        <v>699.99</v>
      </c>
      <c r="J334" s="4" t="str">
        <v>Cash</v>
      </c>
      <c r="K334" s="4" t="str">
        <v>East</v>
      </c>
      <c r="L334" s="4" t="str">
        <v>Standard</v>
      </c>
      <c r="M334" s="5">
        <v>44409</v>
      </c>
      <c r="N334" s="6">
        <v>2799.96</v>
      </c>
    </row>
    <row r="335" spans="1:14">
      <c r="A335" s="4" t="str">
        <v>TRX0204</v>
      </c>
      <c r="B335" s="5">
        <v>45415</v>
      </c>
      <c r="C335" s="4" t="str">
        <v>CUST044</v>
      </c>
      <c r="D335" s="4" t="str">
        <v>Cynthia Price</v>
      </c>
      <c r="E335" s="4" t="str">
        <v>P009</v>
      </c>
      <c r="F335" s="4" t="str">
        <v>Monitor</v>
      </c>
      <c r="G335" s="4" t="str">
        <v>Electronics</v>
      </c>
      <c r="H335" s="4">
        <v>4</v>
      </c>
      <c r="I335" s="6">
        <v>249.99</v>
      </c>
      <c r="J335" s="4" t="str">
        <v>PayPal</v>
      </c>
      <c r="K335" s="4" t="str">
        <v>North</v>
      </c>
      <c r="L335" s="4" t="str">
        <v>Standard</v>
      </c>
      <c r="M335" s="5">
        <v>44468</v>
      </c>
      <c r="N335" s="6">
        <v>999.96</v>
      </c>
    </row>
    <row r="336" spans="1:14">
      <c r="A336" s="4" t="str">
        <v>TRX0242</v>
      </c>
      <c r="B336" s="5">
        <v>45416</v>
      </c>
      <c r="C336" s="4" t="str">
        <v>CUST025</v>
      </c>
      <c r="D336" s="4" t="str">
        <v>Mark Carter</v>
      </c>
      <c r="E336" s="4" t="str">
        <v>P007</v>
      </c>
      <c r="F336" s="4" t="str">
        <v>Desk</v>
      </c>
      <c r="G336" s="4" t="str">
        <v>Furniture</v>
      </c>
      <c r="H336" s="4">
        <v>4</v>
      </c>
      <c r="I336" s="6">
        <v>299.99</v>
      </c>
      <c r="J336" s="4" t="str">
        <v>Cash</v>
      </c>
      <c r="K336" s="4" t="str">
        <v>West</v>
      </c>
      <c r="L336" s="4" t="str">
        <v>Premium</v>
      </c>
      <c r="M336" s="5">
        <v>44716</v>
      </c>
      <c r="N336" s="6">
        <v>1199.96</v>
      </c>
    </row>
    <row r="337" spans="1:14">
      <c r="A337" s="4" t="str">
        <v>TRX0071</v>
      </c>
      <c r="B337" s="5">
        <v>45422</v>
      </c>
      <c r="C337" s="4" t="str">
        <v>CUST036</v>
      </c>
      <c r="D337" s="4" t="str">
        <v>Nancy Collins</v>
      </c>
      <c r="E337" s="4" t="str">
        <v>P009</v>
      </c>
      <c r="F337" s="4" t="str">
        <v>Monitor</v>
      </c>
      <c r="G337" s="4" t="str">
        <v>Electronics</v>
      </c>
      <c r="H337" s="4">
        <v>5</v>
      </c>
      <c r="I337" s="6">
        <v>249.99</v>
      </c>
      <c r="J337" s="4" t="str">
        <v>Credit Card</v>
      </c>
      <c r="K337" s="4" t="str">
        <v>West</v>
      </c>
      <c r="L337" s="4" t="str">
        <v>Standard</v>
      </c>
      <c r="M337" s="5">
        <v>44525</v>
      </c>
      <c r="N337" s="6">
        <v>1249.95</v>
      </c>
    </row>
    <row r="338" spans="1:14">
      <c r="A338" s="4" t="str">
        <v>TRX0040</v>
      </c>
      <c r="B338" s="5">
        <v>45424</v>
      </c>
      <c r="C338" s="4" t="str">
        <v>CUST022</v>
      </c>
      <c r="D338" s="4" t="str">
        <v>Susan Green</v>
      </c>
      <c r="E338" s="4" t="str">
        <v>P007</v>
      </c>
      <c r="F338" s="4" t="str">
        <v>Desk</v>
      </c>
      <c r="G338" s="4" t="str">
        <v>Furniture</v>
      </c>
      <c r="H338" s="4">
        <v>5</v>
      </c>
      <c r="I338" s="6">
        <v>299.99</v>
      </c>
      <c r="J338" s="4" t="str">
        <v>PayPal</v>
      </c>
      <c r="K338" s="4" t="str">
        <v>East</v>
      </c>
      <c r="L338" s="4" t="str">
        <v>Basic</v>
      </c>
      <c r="M338" s="5">
        <v>45168</v>
      </c>
      <c r="N338" s="6">
        <v>1499.95</v>
      </c>
    </row>
    <row r="339" spans="1:14">
      <c r="A339" s="4" t="str">
        <v>TRX0235</v>
      </c>
      <c r="B339" s="5">
        <v>45424</v>
      </c>
      <c r="C339" s="4" t="str">
        <v>CUST014</v>
      </c>
      <c r="D339" s="4" t="str">
        <v>Linda Martin</v>
      </c>
      <c r="E339" s="4" t="str">
        <v>P004</v>
      </c>
      <c r="F339" s="4" t="str">
        <v>Coffee Maker</v>
      </c>
      <c r="G339" s="4" t="str">
        <v>Appliances</v>
      </c>
      <c r="H339" s="4">
        <v>3</v>
      </c>
      <c r="I339" s="6">
        <v>79.989999999999995</v>
      </c>
      <c r="J339" s="4" t="str">
        <v>PayPal</v>
      </c>
      <c r="K339" s="4" t="str">
        <v>East</v>
      </c>
      <c r="L339" s="4" t="str">
        <v>Premium</v>
      </c>
      <c r="M339" s="5">
        <v>45012</v>
      </c>
      <c r="N339" s="6">
        <v>239.97</v>
      </c>
    </row>
    <row r="340" spans="1:14">
      <c r="A340" s="4" t="str">
        <v>TRX0004</v>
      </c>
      <c r="B340" s="5">
        <v>45424</v>
      </c>
      <c r="C340" s="4" t="str">
        <v>CUST012</v>
      </c>
      <c r="D340" s="4" t="str">
        <v>Patricia Moore</v>
      </c>
      <c r="E340" s="4" t="str">
        <v>P010</v>
      </c>
      <c r="F340" s="4" t="str">
        <v>Keyboard</v>
      </c>
      <c r="G340" s="4" t="str">
        <v>Electronics</v>
      </c>
      <c r="H340" s="4">
        <v>5</v>
      </c>
      <c r="I340" s="6">
        <v>89.99</v>
      </c>
      <c r="J340" s="4" t="str">
        <v>Cash</v>
      </c>
      <c r="K340" s="4" t="str">
        <v>North</v>
      </c>
      <c r="L340" s="4" t="str">
        <v>Premium</v>
      </c>
      <c r="M340" s="5">
        <v>44919</v>
      </c>
      <c r="N340" s="6">
        <v>449.95</v>
      </c>
    </row>
    <row r="341" spans="1:14">
      <c r="A341" s="4" t="str">
        <v>TRX0063</v>
      </c>
      <c r="B341" s="5">
        <v>45425</v>
      </c>
      <c r="C341" s="4" t="str">
        <v>CUST030</v>
      </c>
      <c r="D341" s="4" t="str">
        <v>Helen Roberts</v>
      </c>
      <c r="E341" s="4" t="str">
        <v>P005</v>
      </c>
      <c r="F341" s="4" t="str">
        <v>Blender</v>
      </c>
      <c r="G341" s="4" t="str">
        <v>Appliances</v>
      </c>
      <c r="H341" s="4">
        <v>2</v>
      </c>
      <c r="I341" s="6">
        <v>59.99</v>
      </c>
      <c r="J341" s="4" t="str">
        <v>Debit Card</v>
      </c>
      <c r="K341" s="4" t="str">
        <v>Central</v>
      </c>
      <c r="L341" s="4" t="str">
        <v>Standard</v>
      </c>
      <c r="M341" s="5">
        <v>45214</v>
      </c>
      <c r="N341" s="6">
        <v>119.98</v>
      </c>
    </row>
    <row r="342" spans="1:14">
      <c r="A342" s="4" t="str">
        <v>TRX0241</v>
      </c>
      <c r="B342" s="5">
        <v>45427</v>
      </c>
      <c r="C342" s="4" t="str">
        <v>CUST029</v>
      </c>
      <c r="D342" s="4" t="str">
        <v>Edward Mitchell</v>
      </c>
      <c r="E342" s="4" t="str">
        <v>P005</v>
      </c>
      <c r="F342" s="4" t="str">
        <v>Blender</v>
      </c>
      <c r="G342" s="4" t="str">
        <v>Appliances</v>
      </c>
      <c r="H342" s="4">
        <v>4</v>
      </c>
      <c r="I342" s="6">
        <v>59.99</v>
      </c>
      <c r="J342" s="4" t="str">
        <v>Debit Card</v>
      </c>
      <c r="K342" s="4" t="str">
        <v>East</v>
      </c>
      <c r="L342" s="4" t="str">
        <v>Standard</v>
      </c>
      <c r="M342" s="5">
        <v>44867</v>
      </c>
      <c r="N342" s="6">
        <v>239.96</v>
      </c>
    </row>
    <row r="343" spans="1:14">
      <c r="A343" s="4" t="str">
        <v>TRX0029</v>
      </c>
      <c r="B343" s="5">
        <v>45427</v>
      </c>
      <c r="C343" s="4" t="str">
        <v>CUST017</v>
      </c>
      <c r="D343" s="4" t="str">
        <v>Charles Allen</v>
      </c>
      <c r="E343" s="4" t="str">
        <v>P006</v>
      </c>
      <c r="F343" s="4" t="str">
        <v>Office Chair</v>
      </c>
      <c r="G343" s="4" t="str">
        <v>Furniture</v>
      </c>
      <c r="H343" s="4">
        <v>5</v>
      </c>
      <c r="I343" s="6">
        <v>199.99</v>
      </c>
      <c r="J343" s="4" t="str">
        <v>Cash</v>
      </c>
      <c r="K343" s="4" t="str">
        <v>South</v>
      </c>
      <c r="L343" s="4" t="str">
        <v>Standard</v>
      </c>
      <c r="M343" s="5">
        <v>44412</v>
      </c>
      <c r="N343" s="6">
        <v>999.95</v>
      </c>
    </row>
    <row r="344" spans="1:14">
      <c r="A344" s="4" t="str">
        <v>TRX0194</v>
      </c>
      <c r="B344" s="5">
        <v>45428</v>
      </c>
      <c r="C344" s="4" t="str">
        <v>CUST006</v>
      </c>
      <c r="D344" s="4" t="str">
        <v>Lisa Anderson</v>
      </c>
      <c r="E344" s="4" t="str">
        <v>P008</v>
      </c>
      <c r="F344" s="4" t="str">
        <v>Bookshelf</v>
      </c>
      <c r="G344" s="4" t="str">
        <v>Furniture</v>
      </c>
      <c r="H344" s="4">
        <v>2</v>
      </c>
      <c r="I344" s="6">
        <v>149.99</v>
      </c>
      <c r="J344" s="4" t="str">
        <v>Credit Card</v>
      </c>
      <c r="K344" s="4" t="str">
        <v>West</v>
      </c>
      <c r="L344" s="4" t="str">
        <v>Basic</v>
      </c>
      <c r="M344" s="5">
        <v>44823</v>
      </c>
      <c r="N344" s="6">
        <v>299.98</v>
      </c>
    </row>
    <row r="345" spans="1:14">
      <c r="A345" s="4" t="str">
        <v>TRX0130</v>
      </c>
      <c r="B345" s="5">
        <v>45430</v>
      </c>
      <c r="C345" s="4" t="str">
        <v>CUST002</v>
      </c>
      <c r="D345" s="4" t="str">
        <v>Emma Wilson</v>
      </c>
      <c r="E345" s="4" t="str">
        <v>P008</v>
      </c>
      <c r="F345" s="4" t="str">
        <v>Bookshelf</v>
      </c>
      <c r="G345" s="4" t="str">
        <v>Furniture</v>
      </c>
      <c r="H345" s="4">
        <v>3</v>
      </c>
      <c r="I345" s="6">
        <v>149.99</v>
      </c>
      <c r="J345" s="4" t="str">
        <v>Credit Card</v>
      </c>
      <c r="K345" s="4" t="str">
        <v>West</v>
      </c>
      <c r="L345" s="4" t="str">
        <v>Premium</v>
      </c>
      <c r="M345" s="5">
        <v>45068</v>
      </c>
      <c r="N345" s="6">
        <v>449.97</v>
      </c>
    </row>
    <row r="346" spans="1:14">
      <c r="A346" s="4" t="str">
        <v>TRX0041</v>
      </c>
      <c r="B346" s="5">
        <v>45432</v>
      </c>
      <c r="C346" s="4" t="str">
        <v>CUST021</v>
      </c>
      <c r="D346" s="4" t="str">
        <v>Kevin Scott</v>
      </c>
      <c r="E346" s="4" t="str">
        <v>P001</v>
      </c>
      <c r="F346" s="4" t="str">
        <v>Laptop</v>
      </c>
      <c r="G346" s="4" t="str">
        <v>Electronics</v>
      </c>
      <c r="H346" s="4">
        <v>1</v>
      </c>
      <c r="I346" s="6">
        <v>899.99</v>
      </c>
      <c r="J346" s="4" t="str">
        <v>Credit Card</v>
      </c>
      <c r="K346" s="4" t="str">
        <v>West</v>
      </c>
      <c r="L346" s="4" t="str">
        <v>Premium</v>
      </c>
      <c r="M346" s="5">
        <v>44578</v>
      </c>
      <c r="N346" s="6">
        <v>899.99</v>
      </c>
    </row>
    <row r="347" spans="1:14">
      <c r="A347" s="4" t="str">
        <v>TRX0232</v>
      </c>
      <c r="B347" s="5">
        <v>45434</v>
      </c>
      <c r="C347" s="4" t="str">
        <v>CUST012</v>
      </c>
      <c r="D347" s="4" t="str">
        <v>Patricia Moore</v>
      </c>
      <c r="E347" s="4" t="str">
        <v>P007</v>
      </c>
      <c r="F347" s="4" t="str">
        <v>Desk</v>
      </c>
      <c r="G347" s="4" t="str">
        <v>Furniture</v>
      </c>
      <c r="H347" s="4">
        <v>3</v>
      </c>
      <c r="I347" s="6">
        <v>299.99</v>
      </c>
      <c r="J347" s="4" t="str">
        <v>Credit Card</v>
      </c>
      <c r="K347" s="4" t="str">
        <v>East</v>
      </c>
      <c r="L347" s="4" t="str">
        <v>Basic</v>
      </c>
      <c r="M347" s="5">
        <v>44824</v>
      </c>
      <c r="N347" s="6">
        <v>899.97</v>
      </c>
    </row>
    <row r="348" spans="1:14">
      <c r="A348" s="4" t="str">
        <v>TRX0021</v>
      </c>
      <c r="B348" s="5">
        <v>45435</v>
      </c>
      <c r="C348" s="4" t="str">
        <v>CUST006</v>
      </c>
      <c r="D348" s="4" t="str">
        <v>Lisa Anderson</v>
      </c>
      <c r="E348" s="4" t="str">
        <v>P004</v>
      </c>
      <c r="F348" s="4" t="str">
        <v>Coffee Maker</v>
      </c>
      <c r="G348" s="4" t="str">
        <v>Appliances</v>
      </c>
      <c r="H348" s="4">
        <v>3</v>
      </c>
      <c r="I348" s="6">
        <v>79.989999999999995</v>
      </c>
      <c r="J348" s="4" t="str">
        <v>Cash</v>
      </c>
      <c r="K348" s="4" t="str">
        <v>South</v>
      </c>
      <c r="L348" s="4" t="str">
        <v>Basic</v>
      </c>
      <c r="M348" s="5">
        <v>45046</v>
      </c>
      <c r="N348" s="6">
        <v>239.97</v>
      </c>
    </row>
    <row r="349" spans="1:14">
      <c r="A349" s="4" t="str">
        <v>TRX0245</v>
      </c>
      <c r="B349" s="5">
        <v>45438</v>
      </c>
      <c r="C349" s="4" t="str">
        <v>CUST031</v>
      </c>
      <c r="D349" s="4" t="str">
        <v>Steven Turner</v>
      </c>
      <c r="E349" s="4" t="str">
        <v>P006</v>
      </c>
      <c r="F349" s="4" t="str">
        <v>Office Chair</v>
      </c>
      <c r="G349" s="4" t="str">
        <v>Furniture</v>
      </c>
      <c r="H349" s="4">
        <v>3</v>
      </c>
      <c r="I349" s="6">
        <v>199.99</v>
      </c>
      <c r="J349" s="4" t="str">
        <v>Credit Card</v>
      </c>
      <c r="K349" s="4" t="str">
        <v>North</v>
      </c>
      <c r="L349" s="4" t="str">
        <v>Premium</v>
      </c>
      <c r="M349" s="5">
        <v>45292</v>
      </c>
      <c r="N349" s="6">
        <v>599.97</v>
      </c>
    </row>
    <row r="350" spans="1:14">
      <c r="A350" s="4" t="str">
        <v>TRX0015</v>
      </c>
      <c r="B350" s="5">
        <v>45440</v>
      </c>
      <c r="C350" s="4" t="str">
        <v>CUST008</v>
      </c>
      <c r="D350" s="4" t="str">
        <v>Jennifer Taylor</v>
      </c>
      <c r="E350" s="4" t="str">
        <v>P002</v>
      </c>
      <c r="F350" s="4" t="str">
        <v>Smartphone</v>
      </c>
      <c r="G350" s="4" t="str">
        <v>Electronics</v>
      </c>
      <c r="H350" s="4">
        <v>5</v>
      </c>
      <c r="I350" s="6">
        <v>699.99</v>
      </c>
      <c r="J350" s="4" t="str">
        <v>PayPal</v>
      </c>
      <c r="K350" s="4" t="str">
        <v>West</v>
      </c>
      <c r="L350" s="4" t="str">
        <v>Standard</v>
      </c>
      <c r="M350" s="5">
        <v>44407</v>
      </c>
      <c r="N350" s="6">
        <v>3499.95</v>
      </c>
    </row>
    <row r="351" spans="1:14">
      <c r="A351" s="4" t="str">
        <v>TRX0202</v>
      </c>
      <c r="B351" s="5">
        <v>45441</v>
      </c>
      <c r="C351" s="4" t="str">
        <v>CUST035</v>
      </c>
      <c r="D351" s="4" t="str">
        <v>Harry Morgan</v>
      </c>
      <c r="E351" s="4" t="str">
        <v>P010</v>
      </c>
      <c r="F351" s="4" t="str">
        <v>Keyboard</v>
      </c>
      <c r="G351" s="4" t="str">
        <v>Electronics</v>
      </c>
      <c r="H351" s="4">
        <v>3</v>
      </c>
      <c r="I351" s="6">
        <v>89.99</v>
      </c>
      <c r="J351" s="4" t="str">
        <v>PayPal</v>
      </c>
      <c r="K351" s="4" t="str">
        <v>Central</v>
      </c>
      <c r="L351" s="4" t="str">
        <v>Premium</v>
      </c>
      <c r="M351" s="5">
        <v>45120</v>
      </c>
      <c r="N351" s="6">
        <v>269.97000000000003</v>
      </c>
    </row>
    <row r="352" spans="1:14">
      <c r="A352" s="4" t="str">
        <v>TRX0042</v>
      </c>
      <c r="B352" s="5">
        <v>45443</v>
      </c>
      <c r="C352" s="4" t="str">
        <v>CUST019</v>
      </c>
      <c r="D352" s="4" t="str">
        <v>Daniel King</v>
      </c>
      <c r="E352" s="4" t="str">
        <v>P004</v>
      </c>
      <c r="F352" s="4" t="str">
        <v>Coffee Maker</v>
      </c>
      <c r="G352" s="4" t="str">
        <v>Appliances</v>
      </c>
      <c r="H352" s="4">
        <v>1</v>
      </c>
      <c r="I352" s="6">
        <v>79.989999999999995</v>
      </c>
      <c r="J352" s="4" t="str">
        <v>Cash</v>
      </c>
      <c r="K352" s="4" t="str">
        <v>North</v>
      </c>
      <c r="L352" s="4" t="str">
        <v>Standard</v>
      </c>
      <c r="M352" s="5">
        <v>44917</v>
      </c>
      <c r="N352" s="6">
        <v>79.989999999999995</v>
      </c>
    </row>
    <row r="353" spans="1:14">
      <c r="A353" s="4" t="str">
        <v>TRX0128</v>
      </c>
      <c r="B353" s="5">
        <v>45444</v>
      </c>
      <c r="C353" s="4" t="str">
        <v>CUST040</v>
      </c>
      <c r="D353" s="4" t="str">
        <v>Sharon Butler</v>
      </c>
      <c r="E353" s="4" t="str">
        <v>P005</v>
      </c>
      <c r="F353" s="4" t="str">
        <v>Blender</v>
      </c>
      <c r="G353" s="4" t="str">
        <v>Appliances</v>
      </c>
      <c r="H353" s="4">
        <v>2</v>
      </c>
      <c r="I353" s="6">
        <v>59.99</v>
      </c>
      <c r="J353" s="4" t="str">
        <v>Cash</v>
      </c>
      <c r="K353" s="4" t="str">
        <v>West</v>
      </c>
      <c r="L353" s="4" t="str">
        <v>Basic</v>
      </c>
      <c r="M353" s="5">
        <v>45390</v>
      </c>
      <c r="N353" s="6">
        <v>119.98</v>
      </c>
    </row>
    <row r="354" spans="1:14">
      <c r="A354" s="4" t="str">
        <v>TRX0117</v>
      </c>
      <c r="B354" s="5">
        <v>45444</v>
      </c>
      <c r="C354" s="4" t="str">
        <v>CUST017</v>
      </c>
      <c r="D354" s="4" t="str">
        <v>Charles Allen</v>
      </c>
      <c r="E354" s="4" t="str">
        <v>P010</v>
      </c>
      <c r="F354" s="4" t="str">
        <v>Keyboard</v>
      </c>
      <c r="G354" s="4" t="str">
        <v>Electronics</v>
      </c>
      <c r="H354" s="4">
        <v>1</v>
      </c>
      <c r="I354" s="6">
        <v>89.99</v>
      </c>
      <c r="J354" s="4" t="str">
        <v>Cash</v>
      </c>
      <c r="K354" s="4" t="str">
        <v>North</v>
      </c>
      <c r="L354" s="4" t="str">
        <v>Basic</v>
      </c>
      <c r="M354" s="5">
        <v>45141</v>
      </c>
      <c r="N354" s="6">
        <v>89.99</v>
      </c>
    </row>
    <row r="355" spans="1:14">
      <c r="A355" s="4" t="str">
        <v>TRX0208</v>
      </c>
      <c r="B355" s="5">
        <v>45446</v>
      </c>
      <c r="C355" s="4" t="str">
        <v>CUST004</v>
      </c>
      <c r="D355" s="4" t="str">
        <v>Sarah Davis</v>
      </c>
      <c r="E355" s="4" t="str">
        <v>P010</v>
      </c>
      <c r="F355" s="4" t="str">
        <v>Keyboard</v>
      </c>
      <c r="G355" s="4" t="str">
        <v>Electronics</v>
      </c>
      <c r="H355" s="4">
        <v>5</v>
      </c>
      <c r="I355" s="6">
        <v>89.99</v>
      </c>
      <c r="J355" s="4" t="str">
        <v>Credit Card</v>
      </c>
      <c r="K355" s="4" t="str">
        <v>East</v>
      </c>
      <c r="L355" s="4" t="str">
        <v>Standard</v>
      </c>
      <c r="M355" s="5">
        <v>44587</v>
      </c>
      <c r="N355" s="6">
        <v>449.95</v>
      </c>
    </row>
    <row r="356" spans="1:14">
      <c r="A356" s="4" t="str">
        <v>TRX0234</v>
      </c>
      <c r="B356" s="5">
        <v>45449</v>
      </c>
      <c r="C356" s="4" t="str">
        <v>CUST013</v>
      </c>
      <c r="D356" s="4" t="str">
        <v>Joseph Jackson</v>
      </c>
      <c r="E356" s="4" t="str">
        <v>P009</v>
      </c>
      <c r="F356" s="4" t="str">
        <v>Monitor</v>
      </c>
      <c r="G356" s="4" t="str">
        <v>Electronics</v>
      </c>
      <c r="H356" s="4">
        <v>5</v>
      </c>
      <c r="I356" s="6">
        <v>249.99</v>
      </c>
      <c r="J356" s="4" t="str">
        <v>Credit Card</v>
      </c>
      <c r="K356" s="4" t="str">
        <v>East</v>
      </c>
      <c r="L356" s="4" t="str">
        <v>Standard</v>
      </c>
      <c r="M356" s="5">
        <v>44707</v>
      </c>
      <c r="N356" s="6">
        <v>1249.95</v>
      </c>
    </row>
    <row r="357" spans="1:14">
      <c r="A357" s="4" t="str">
        <v>TRX0121</v>
      </c>
      <c r="B357" s="5">
        <v>45449</v>
      </c>
      <c r="C357" s="4" t="str">
        <v>CUST028</v>
      </c>
      <c r="D357" s="4" t="str">
        <v>Betty Campbell</v>
      </c>
      <c r="E357" s="4" t="str">
        <v>P010</v>
      </c>
      <c r="F357" s="4" t="str">
        <v>Keyboard</v>
      </c>
      <c r="G357" s="4" t="str">
        <v>Electronics</v>
      </c>
      <c r="H357" s="4">
        <v>1</v>
      </c>
      <c r="I357" s="6">
        <v>89.99</v>
      </c>
      <c r="J357" s="4" t="str">
        <v>Credit Card</v>
      </c>
      <c r="K357" s="4" t="str">
        <v>South</v>
      </c>
      <c r="L357" s="4" t="str">
        <v>Standard</v>
      </c>
      <c r="M357" s="5">
        <v>44582</v>
      </c>
      <c r="N357" s="6">
        <v>89.99</v>
      </c>
    </row>
    <row r="358" spans="1:14">
      <c r="A358" s="4" t="str">
        <v>TRX0220</v>
      </c>
      <c r="B358" s="5">
        <v>45450</v>
      </c>
      <c r="C358" s="4" t="str">
        <v>CUST003</v>
      </c>
      <c r="D358" s="4" t="str">
        <v>Michael Brown</v>
      </c>
      <c r="E358" s="4" t="str">
        <v>P008</v>
      </c>
      <c r="F358" s="4" t="str">
        <v>Bookshelf</v>
      </c>
      <c r="G358" s="4" t="str">
        <v>Furniture</v>
      </c>
      <c r="H358" s="4">
        <v>2</v>
      </c>
      <c r="I358" s="6">
        <v>149.99</v>
      </c>
      <c r="J358" s="4" t="str">
        <v>Cash</v>
      </c>
      <c r="K358" s="4" t="str">
        <v>East</v>
      </c>
      <c r="L358" s="4" t="str">
        <v>Premium</v>
      </c>
      <c r="M358" s="5">
        <v>44645</v>
      </c>
      <c r="N358" s="6">
        <v>299.98</v>
      </c>
    </row>
    <row r="359" spans="1:14">
      <c r="A359" s="4" t="str">
        <v>TRX0093</v>
      </c>
      <c r="B359" s="5">
        <v>45452</v>
      </c>
      <c r="C359" s="4" t="str">
        <v>CUST050</v>
      </c>
      <c r="D359" s="4" t="str">
        <v>Julie Foster</v>
      </c>
      <c r="E359" s="4" t="str">
        <v>P005</v>
      </c>
      <c r="F359" s="4" t="str">
        <v>Blender</v>
      </c>
      <c r="G359" s="4" t="str">
        <v>Appliances</v>
      </c>
      <c r="H359" s="4">
        <v>4</v>
      </c>
      <c r="I359" s="6">
        <v>59.99</v>
      </c>
      <c r="J359" s="4" t="str">
        <v>Cash</v>
      </c>
      <c r="K359" s="4" t="str">
        <v>East</v>
      </c>
      <c r="L359" s="4" t="str">
        <v>Standard</v>
      </c>
      <c r="M359" s="5">
        <v>44435</v>
      </c>
      <c r="N359" s="6">
        <v>239.96</v>
      </c>
    </row>
    <row r="360" spans="1:14">
      <c r="A360" s="4" t="str">
        <v>TRX0088</v>
      </c>
      <c r="B360" s="5">
        <v>45456</v>
      </c>
      <c r="C360" s="4" t="str">
        <v>CUST006</v>
      </c>
      <c r="D360" s="4" t="str">
        <v>Lisa Anderson</v>
      </c>
      <c r="E360" s="4" t="str">
        <v>P010</v>
      </c>
      <c r="F360" s="4" t="str">
        <v>Keyboard</v>
      </c>
      <c r="G360" s="4" t="str">
        <v>Electronics</v>
      </c>
      <c r="H360" s="4">
        <v>5</v>
      </c>
      <c r="I360" s="6">
        <v>89.99</v>
      </c>
      <c r="J360" s="4" t="str">
        <v>Cash</v>
      </c>
      <c r="K360" s="4" t="str">
        <v>Central</v>
      </c>
      <c r="L360" s="4" t="str">
        <v>Premium</v>
      </c>
      <c r="M360" s="5">
        <v>44579</v>
      </c>
      <c r="N360" s="6">
        <v>449.95</v>
      </c>
    </row>
    <row r="361" spans="1:14">
      <c r="A361" s="4" t="str">
        <v>TRX0115</v>
      </c>
      <c r="B361" s="5">
        <v>45459</v>
      </c>
      <c r="C361" s="4" t="str">
        <v>CUST012</v>
      </c>
      <c r="D361" s="4" t="str">
        <v>Patricia Moore</v>
      </c>
      <c r="E361" s="4" t="str">
        <v>P010</v>
      </c>
      <c r="F361" s="4" t="str">
        <v>Keyboard</v>
      </c>
      <c r="G361" s="4" t="str">
        <v>Electronics</v>
      </c>
      <c r="H361" s="4">
        <v>2</v>
      </c>
      <c r="I361" s="6">
        <v>89.99</v>
      </c>
      <c r="J361" s="4" t="str">
        <v>Credit Card</v>
      </c>
      <c r="K361" s="4" t="str">
        <v>South</v>
      </c>
      <c r="L361" s="4" t="str">
        <v>Premium</v>
      </c>
      <c r="M361" s="5">
        <v>44471</v>
      </c>
      <c r="N361" s="6">
        <v>179.98</v>
      </c>
    </row>
    <row r="362" spans="1:14">
      <c r="A362" s="4" t="str">
        <v>TRX0154</v>
      </c>
      <c r="B362" s="5">
        <v>45459</v>
      </c>
      <c r="C362" s="4" t="str">
        <v>CUST023</v>
      </c>
      <c r="D362" s="4" t="str">
        <v>Paul Baker</v>
      </c>
      <c r="E362" s="4" t="str">
        <v>P001</v>
      </c>
      <c r="F362" s="4" t="str">
        <v>Laptop</v>
      </c>
      <c r="G362" s="4" t="str">
        <v>Electronics</v>
      </c>
      <c r="H362" s="4">
        <v>5</v>
      </c>
      <c r="I362" s="6">
        <v>899.99</v>
      </c>
      <c r="J362" s="4" t="str">
        <v>Credit Card</v>
      </c>
      <c r="K362" s="4" t="str">
        <v>South</v>
      </c>
      <c r="L362" s="4" t="str">
        <v>Standard</v>
      </c>
      <c r="M362" s="5">
        <v>44974</v>
      </c>
      <c r="N362" s="6">
        <v>4499.95</v>
      </c>
    </row>
    <row r="363" spans="1:14">
      <c r="A363" s="4" t="str">
        <v>TRX0044</v>
      </c>
      <c r="B363" s="5">
        <v>45459</v>
      </c>
      <c r="C363" s="4" t="str">
        <v>CUST029</v>
      </c>
      <c r="D363" s="4" t="str">
        <v>Edward Mitchell</v>
      </c>
      <c r="E363" s="4" t="str">
        <v>P001</v>
      </c>
      <c r="F363" s="4" t="str">
        <v>Laptop</v>
      </c>
      <c r="G363" s="4" t="str">
        <v>Electronics</v>
      </c>
      <c r="H363" s="4">
        <v>5</v>
      </c>
      <c r="I363" s="6">
        <v>899.99</v>
      </c>
      <c r="J363" s="4" t="str">
        <v>PayPal</v>
      </c>
      <c r="K363" s="4" t="str">
        <v>East</v>
      </c>
      <c r="L363" s="4" t="str">
        <v>Premium</v>
      </c>
      <c r="M363" s="5">
        <v>45278</v>
      </c>
      <c r="N363" s="6">
        <v>4499.95</v>
      </c>
    </row>
    <row r="364" spans="1:14">
      <c r="A364" s="4" t="str">
        <v>TRX0061</v>
      </c>
      <c r="B364" s="5">
        <v>45460</v>
      </c>
      <c r="C364" s="4" t="str">
        <v>CUST028</v>
      </c>
      <c r="D364" s="4" t="str">
        <v>Betty Campbell</v>
      </c>
      <c r="E364" s="4" t="str">
        <v>P005</v>
      </c>
      <c r="F364" s="4" t="str">
        <v>Blender</v>
      </c>
      <c r="G364" s="4" t="str">
        <v>Appliances</v>
      </c>
      <c r="H364" s="4">
        <v>1</v>
      </c>
      <c r="I364" s="6">
        <v>59.99</v>
      </c>
      <c r="J364" s="4" t="str">
        <v>Debit Card</v>
      </c>
      <c r="K364" s="4" t="str">
        <v>West</v>
      </c>
      <c r="L364" s="4" t="str">
        <v>Premium</v>
      </c>
      <c r="M364" s="5">
        <v>45190</v>
      </c>
      <c r="N364" s="6">
        <v>59.99</v>
      </c>
    </row>
    <row r="365" spans="1:14">
      <c r="A365" s="4" t="str">
        <v>TRX0150</v>
      </c>
      <c r="B365" s="5">
        <v>45460</v>
      </c>
      <c r="C365" s="4" t="str">
        <v>CUST008</v>
      </c>
      <c r="D365" s="4" t="str">
        <v>Jennifer Taylor</v>
      </c>
      <c r="E365" s="4" t="str">
        <v>P007</v>
      </c>
      <c r="F365" s="4" t="str">
        <v>Desk</v>
      </c>
      <c r="G365" s="4" t="str">
        <v>Furniture</v>
      </c>
      <c r="H365" s="4">
        <v>2</v>
      </c>
      <c r="I365" s="6">
        <v>299.99</v>
      </c>
      <c r="J365" s="4" t="str">
        <v>Debit Card</v>
      </c>
      <c r="K365" s="4" t="str">
        <v>East</v>
      </c>
      <c r="L365" s="4" t="str">
        <v>Standard</v>
      </c>
      <c r="M365" s="5">
        <v>45253</v>
      </c>
      <c r="N365" s="6">
        <v>599.98</v>
      </c>
    </row>
    <row r="366" spans="1:14">
      <c r="A366" s="4" t="str">
        <v>TRX0025</v>
      </c>
      <c r="B366" s="5">
        <v>45468</v>
      </c>
      <c r="C366" s="4" t="str">
        <v>CUST049</v>
      </c>
      <c r="D366" s="4" t="str">
        <v>Raymond Ross</v>
      </c>
      <c r="E366" s="4" t="str">
        <v>P010</v>
      </c>
      <c r="F366" s="4" t="str">
        <v>Keyboard</v>
      </c>
      <c r="G366" s="4" t="str">
        <v>Electronics</v>
      </c>
      <c r="H366" s="4">
        <v>4</v>
      </c>
      <c r="I366" s="6">
        <v>89.99</v>
      </c>
      <c r="J366" s="4" t="str">
        <v>Debit Card</v>
      </c>
      <c r="K366" s="4" t="str">
        <v>South</v>
      </c>
      <c r="L366" s="4" t="str">
        <v>Basic</v>
      </c>
      <c r="M366" s="5">
        <v>45281</v>
      </c>
      <c r="N366" s="6">
        <v>359.96</v>
      </c>
    </row>
    <row r="367" spans="1:14">
      <c r="A367" s="4" t="str">
        <v>TRX0078</v>
      </c>
      <c r="B367" s="5">
        <v>45469</v>
      </c>
      <c r="C367" s="4" t="str">
        <v>CUST021</v>
      </c>
      <c r="D367" s="4" t="str">
        <v>Kevin Scott</v>
      </c>
      <c r="E367" s="4" t="str">
        <v>P004</v>
      </c>
      <c r="F367" s="4" t="str">
        <v>Coffee Maker</v>
      </c>
      <c r="G367" s="4" t="str">
        <v>Appliances</v>
      </c>
      <c r="H367" s="4">
        <v>1</v>
      </c>
      <c r="I367" s="6">
        <v>79.989999999999995</v>
      </c>
      <c r="J367" s="4" t="str">
        <v>PayPal</v>
      </c>
      <c r="K367" s="4" t="str">
        <v>Central</v>
      </c>
      <c r="L367" s="4" t="str">
        <v>Premium</v>
      </c>
      <c r="M367" s="5">
        <v>45352</v>
      </c>
      <c r="N367" s="6">
        <v>79.989999999999995</v>
      </c>
    </row>
    <row r="368" spans="1:14">
      <c r="A368" s="4" t="str">
        <v>TRX0007</v>
      </c>
      <c r="B368" s="5">
        <v>45469</v>
      </c>
      <c r="C368" s="4" t="str">
        <v>CUST009</v>
      </c>
      <c r="D368" s="4" t="str">
        <v>Robert Thomas</v>
      </c>
      <c r="E368" s="4" t="str">
        <v>P010</v>
      </c>
      <c r="F368" s="4" t="str">
        <v>Keyboard</v>
      </c>
      <c r="G368" s="4" t="str">
        <v>Electronics</v>
      </c>
      <c r="H368" s="4">
        <v>2</v>
      </c>
      <c r="I368" s="6">
        <v>89.99</v>
      </c>
      <c r="J368" s="4" t="str">
        <v>Cash</v>
      </c>
      <c r="K368" s="4" t="str">
        <v>West</v>
      </c>
      <c r="L368" s="4" t="str">
        <v>Basic</v>
      </c>
      <c r="M368" s="5">
        <v>44438</v>
      </c>
      <c r="N368" s="6">
        <v>179.98</v>
      </c>
    </row>
    <row r="369" spans="1:14">
      <c r="A369" s="4" t="str">
        <v>TRX0184</v>
      </c>
      <c r="B369" s="5">
        <v>45471</v>
      </c>
      <c r="C369" s="4" t="str">
        <v>CUST046</v>
      </c>
      <c r="D369" s="4" t="str">
        <v>Kathleen Bennett</v>
      </c>
      <c r="E369" s="4" t="str">
        <v>P002</v>
      </c>
      <c r="F369" s="4" t="str">
        <v>Smartphone</v>
      </c>
      <c r="G369" s="4" t="str">
        <v>Electronics</v>
      </c>
      <c r="H369" s="4">
        <v>3</v>
      </c>
      <c r="I369" s="6">
        <v>699.99</v>
      </c>
      <c r="J369" s="4" t="str">
        <v>Credit Card</v>
      </c>
      <c r="K369" s="4" t="str">
        <v>East</v>
      </c>
      <c r="L369" s="4" t="str">
        <v>Premium</v>
      </c>
      <c r="M369" s="5">
        <v>45102</v>
      </c>
      <c r="N369" s="6">
        <v>2099.9699999999998</v>
      </c>
    </row>
    <row r="370" spans="1:14">
      <c r="A370" s="4" t="str">
        <v>TRX0104</v>
      </c>
      <c r="B370" s="5">
        <v>45471</v>
      </c>
      <c r="C370" s="4" t="str">
        <v>CUST012</v>
      </c>
      <c r="D370" s="4" t="str">
        <v>Patricia Moore</v>
      </c>
      <c r="E370" s="4" t="str">
        <v>P001</v>
      </c>
      <c r="F370" s="4" t="str">
        <v>Laptop</v>
      </c>
      <c r="G370" s="4" t="str">
        <v>Electronics</v>
      </c>
      <c r="H370" s="4">
        <v>4</v>
      </c>
      <c r="I370" s="6">
        <v>899.99</v>
      </c>
      <c r="J370" s="4" t="str">
        <v>Credit Card</v>
      </c>
      <c r="K370" s="4" t="str">
        <v>East</v>
      </c>
      <c r="L370" s="4" t="str">
        <v>Premium</v>
      </c>
      <c r="M370" s="5">
        <v>44993</v>
      </c>
      <c r="N370" s="6">
        <v>3599.96</v>
      </c>
    </row>
    <row r="371" spans="1:14">
      <c r="A371" s="4" t="str">
        <v>TRX0127</v>
      </c>
      <c r="B371" s="5">
        <v>45472</v>
      </c>
      <c r="C371" s="4" t="str">
        <v>CUST030</v>
      </c>
      <c r="D371" s="4" t="str">
        <v>Helen Roberts</v>
      </c>
      <c r="E371" s="4" t="str">
        <v>P008</v>
      </c>
      <c r="F371" s="4" t="str">
        <v>Bookshelf</v>
      </c>
      <c r="G371" s="4" t="str">
        <v>Furniture</v>
      </c>
      <c r="H371" s="4">
        <v>1</v>
      </c>
      <c r="I371" s="6">
        <v>149.99</v>
      </c>
      <c r="J371" s="4" t="str">
        <v>PayPal</v>
      </c>
      <c r="K371" s="4" t="str">
        <v>East</v>
      </c>
      <c r="L371" s="4" t="str">
        <v>Basic</v>
      </c>
      <c r="M371" s="5">
        <v>44851</v>
      </c>
      <c r="N371" s="6">
        <v>149.99</v>
      </c>
    </row>
    <row r="372" spans="1:14">
      <c r="A372" s="4" t="str">
        <v>TRX0096</v>
      </c>
      <c r="B372" s="5">
        <v>45474</v>
      </c>
      <c r="C372" s="4" t="str">
        <v>CUST002</v>
      </c>
      <c r="D372" s="4" t="str">
        <v>Emma Wilson</v>
      </c>
      <c r="E372" s="4" t="str">
        <v>P010</v>
      </c>
      <c r="F372" s="4" t="str">
        <v>Keyboard</v>
      </c>
      <c r="G372" s="4" t="str">
        <v>Electronics</v>
      </c>
      <c r="H372" s="4">
        <v>2</v>
      </c>
      <c r="I372" s="6">
        <v>89.99</v>
      </c>
      <c r="J372" s="4" t="str">
        <v>PayPal</v>
      </c>
      <c r="K372" s="4" t="str">
        <v>Central</v>
      </c>
      <c r="L372" s="4" t="str">
        <v>Premium</v>
      </c>
      <c r="M372" s="5">
        <v>45275</v>
      </c>
      <c r="N372" s="6">
        <v>179.98</v>
      </c>
    </row>
    <row r="373" spans="1:14">
      <c r="A373" s="4" t="str">
        <v>TRX0192</v>
      </c>
      <c r="B373" s="5">
        <v>45475</v>
      </c>
      <c r="C373" s="4" t="str">
        <v>CUST017</v>
      </c>
      <c r="D373" s="4" t="str">
        <v>Charles Allen</v>
      </c>
      <c r="E373" s="4" t="str">
        <v>P010</v>
      </c>
      <c r="F373" s="4" t="str">
        <v>Keyboard</v>
      </c>
      <c r="G373" s="4" t="str">
        <v>Electronics</v>
      </c>
      <c r="H373" s="4">
        <v>1</v>
      </c>
      <c r="I373" s="6">
        <v>89.99</v>
      </c>
      <c r="J373" s="4" t="str">
        <v>PayPal</v>
      </c>
      <c r="K373" s="4" t="str">
        <v>West</v>
      </c>
      <c r="L373" s="4" t="str">
        <v>Standard</v>
      </c>
      <c r="M373" s="5">
        <v>44802</v>
      </c>
      <c r="N373" s="6">
        <v>89.99</v>
      </c>
    </row>
    <row r="374" spans="1:14">
      <c r="A374" s="4" t="str">
        <v>TRX0052</v>
      </c>
      <c r="B374" s="5">
        <v>45476</v>
      </c>
      <c r="C374" s="4" t="str">
        <v>CUST022</v>
      </c>
      <c r="D374" s="4" t="str">
        <v>Susan Green</v>
      </c>
      <c r="E374" s="4" t="str">
        <v>P010</v>
      </c>
      <c r="F374" s="4" t="str">
        <v>Keyboard</v>
      </c>
      <c r="G374" s="4" t="str">
        <v>Electronics</v>
      </c>
      <c r="H374" s="4">
        <v>1</v>
      </c>
      <c r="I374" s="6">
        <v>89.99</v>
      </c>
      <c r="J374" s="4" t="str">
        <v>Cash</v>
      </c>
      <c r="K374" s="4" t="str">
        <v>South</v>
      </c>
      <c r="L374" s="4" t="str">
        <v>Standard</v>
      </c>
      <c r="M374" s="5">
        <v>44611</v>
      </c>
      <c r="N374" s="6">
        <v>89.99</v>
      </c>
    </row>
    <row r="375" spans="1:14">
      <c r="A375" s="4" t="str">
        <v>TRX0070</v>
      </c>
      <c r="B375" s="5">
        <v>45476</v>
      </c>
      <c r="C375" s="4" t="str">
        <v>CUST007</v>
      </c>
      <c r="D375" s="4" t="str">
        <v>David Martinez</v>
      </c>
      <c r="E375" s="4" t="str">
        <v>P004</v>
      </c>
      <c r="F375" s="4" t="str">
        <v>Coffee Maker</v>
      </c>
      <c r="G375" s="4" t="str">
        <v>Appliances</v>
      </c>
      <c r="H375" s="4">
        <v>5</v>
      </c>
      <c r="I375" s="6">
        <v>79.989999999999995</v>
      </c>
      <c r="J375" s="4" t="str">
        <v>Debit Card</v>
      </c>
      <c r="K375" s="4" t="str">
        <v>Central</v>
      </c>
      <c r="L375" s="4" t="str">
        <v>Basic</v>
      </c>
      <c r="M375" s="5">
        <v>44981</v>
      </c>
      <c r="N375" s="6">
        <v>399.95</v>
      </c>
    </row>
    <row r="376" spans="1:14">
      <c r="A376" s="4" t="str">
        <v>TRX0086</v>
      </c>
      <c r="B376" s="5">
        <v>45481</v>
      </c>
      <c r="C376" s="4" t="str">
        <v>CUST020</v>
      </c>
      <c r="D376" s="4" t="str">
        <v>Margaret Wright</v>
      </c>
      <c r="E376" s="4" t="str">
        <v>P008</v>
      </c>
      <c r="F376" s="4" t="str">
        <v>Bookshelf</v>
      </c>
      <c r="G376" s="4" t="str">
        <v>Furniture</v>
      </c>
      <c r="H376" s="4">
        <v>1</v>
      </c>
      <c r="I376" s="6">
        <v>149.99</v>
      </c>
      <c r="J376" s="4" t="str">
        <v>PayPal</v>
      </c>
      <c r="K376" s="4" t="str">
        <v>North</v>
      </c>
      <c r="L376" s="4" t="str">
        <v>Basic</v>
      </c>
      <c r="M376" s="5">
        <v>44421</v>
      </c>
      <c r="N376" s="6">
        <v>149.99</v>
      </c>
    </row>
    <row r="377" spans="1:14">
      <c r="A377" s="4" t="str">
        <v>TRX0113</v>
      </c>
      <c r="B377" s="5">
        <v>45481</v>
      </c>
      <c r="C377" s="4" t="str">
        <v>CUST003</v>
      </c>
      <c r="D377" s="4" t="str">
        <v>Michael Brown</v>
      </c>
      <c r="E377" s="4" t="str">
        <v>P002</v>
      </c>
      <c r="F377" s="4" t="str">
        <v>Smartphone</v>
      </c>
      <c r="G377" s="4" t="str">
        <v>Electronics</v>
      </c>
      <c r="H377" s="4">
        <v>2</v>
      </c>
      <c r="I377" s="6">
        <v>699.99</v>
      </c>
      <c r="J377" s="4" t="str">
        <v>PayPal</v>
      </c>
      <c r="K377" s="4" t="str">
        <v>East</v>
      </c>
      <c r="L377" s="4" t="str">
        <v>Premium</v>
      </c>
      <c r="M377" s="5">
        <v>45389</v>
      </c>
      <c r="N377" s="6">
        <v>1399.98</v>
      </c>
    </row>
    <row r="378" spans="1:14">
      <c r="A378" s="4" t="str">
        <v>TRX0114</v>
      </c>
      <c r="B378" s="5">
        <v>45481</v>
      </c>
      <c r="C378" s="4" t="str">
        <v>CUST018</v>
      </c>
      <c r="D378" s="4" t="str">
        <v>Barbara Young</v>
      </c>
      <c r="E378" s="4" t="str">
        <v>P010</v>
      </c>
      <c r="F378" s="4" t="str">
        <v>Keyboard</v>
      </c>
      <c r="G378" s="4" t="str">
        <v>Electronics</v>
      </c>
      <c r="H378" s="4">
        <v>5</v>
      </c>
      <c r="I378" s="6">
        <v>89.99</v>
      </c>
      <c r="J378" s="4" t="str">
        <v>Debit Card</v>
      </c>
      <c r="K378" s="4" t="str">
        <v>North</v>
      </c>
      <c r="L378" s="4" t="str">
        <v>Premium</v>
      </c>
      <c r="M378" s="5">
        <v>45161</v>
      </c>
      <c r="N378" s="6">
        <v>449.95</v>
      </c>
    </row>
    <row r="379" spans="1:14">
      <c r="A379" s="4" t="str">
        <v>TRX0136</v>
      </c>
      <c r="B379" s="5">
        <v>45482</v>
      </c>
      <c r="C379" s="4" t="str">
        <v>CUST049</v>
      </c>
      <c r="D379" s="4" t="str">
        <v>Raymond Ross</v>
      </c>
      <c r="E379" s="4" t="str">
        <v>P005</v>
      </c>
      <c r="F379" s="4" t="str">
        <v>Blender</v>
      </c>
      <c r="G379" s="4" t="str">
        <v>Appliances</v>
      </c>
      <c r="H379" s="4">
        <v>4</v>
      </c>
      <c r="I379" s="6">
        <v>59.99</v>
      </c>
      <c r="J379" s="4" t="str">
        <v>Cash</v>
      </c>
      <c r="K379" s="4" t="str">
        <v>South</v>
      </c>
      <c r="L379" s="4" t="str">
        <v>Standard</v>
      </c>
      <c r="M379" s="5">
        <v>44509</v>
      </c>
      <c r="N379" s="6">
        <v>239.96</v>
      </c>
    </row>
    <row r="380" spans="1:14">
      <c r="A380" s="4" t="str">
        <v>TRX0018</v>
      </c>
      <c r="B380" s="5">
        <v>45484</v>
      </c>
      <c r="C380" s="4" t="str">
        <v>CUST013</v>
      </c>
      <c r="D380" s="4" t="str">
        <v>Joseph Jackson</v>
      </c>
      <c r="E380" s="4" t="str">
        <v>P003</v>
      </c>
      <c r="F380" s="4" t="str">
        <v>Headphones</v>
      </c>
      <c r="G380" s="4" t="str">
        <v>Electronics</v>
      </c>
      <c r="H380" s="4">
        <v>1</v>
      </c>
      <c r="I380" s="6">
        <v>149.99</v>
      </c>
      <c r="J380" s="4" t="str">
        <v>Cash</v>
      </c>
      <c r="K380" s="4" t="str">
        <v>Central</v>
      </c>
      <c r="L380" s="4" t="str">
        <v>Standard</v>
      </c>
      <c r="M380" s="5">
        <v>44909</v>
      </c>
      <c r="N380" s="6">
        <v>149.99</v>
      </c>
    </row>
    <row r="381" spans="1:14">
      <c r="A381" s="4" t="str">
        <v>TRX0141</v>
      </c>
      <c r="B381" s="5">
        <v>45484</v>
      </c>
      <c r="C381" s="4" t="str">
        <v>CUST033</v>
      </c>
      <c r="D381" s="4" t="str">
        <v>Frank Torres</v>
      </c>
      <c r="E381" s="4" t="str">
        <v>P007</v>
      </c>
      <c r="F381" s="4" t="str">
        <v>Desk</v>
      </c>
      <c r="G381" s="4" t="str">
        <v>Furniture</v>
      </c>
      <c r="H381" s="4">
        <v>1</v>
      </c>
      <c r="I381" s="6">
        <v>299.99</v>
      </c>
      <c r="J381" s="4" t="str">
        <v>Credit Card</v>
      </c>
      <c r="K381" s="4" t="str">
        <v>North</v>
      </c>
      <c r="L381" s="4" t="str">
        <v>Premium</v>
      </c>
      <c r="M381" s="5">
        <v>44891</v>
      </c>
      <c r="N381" s="6">
        <v>299.99</v>
      </c>
    </row>
    <row r="382" spans="1:14">
      <c r="A382" s="4" t="str">
        <v>TRX0097</v>
      </c>
      <c r="B382" s="5">
        <v>45487</v>
      </c>
      <c r="C382" s="4" t="str">
        <v>CUST033</v>
      </c>
      <c r="D382" s="4" t="str">
        <v>Frank Torres</v>
      </c>
      <c r="E382" s="4" t="str">
        <v>P006</v>
      </c>
      <c r="F382" s="4" t="str">
        <v>Office Chair</v>
      </c>
      <c r="G382" s="4" t="str">
        <v>Furniture</v>
      </c>
      <c r="H382" s="4">
        <v>2</v>
      </c>
      <c r="I382" s="6">
        <v>199.99</v>
      </c>
      <c r="J382" s="4" t="str">
        <v>Cash</v>
      </c>
      <c r="K382" s="4" t="str">
        <v>North</v>
      </c>
      <c r="L382" s="4" t="str">
        <v>Basic</v>
      </c>
      <c r="M382" s="5">
        <v>44541</v>
      </c>
      <c r="N382" s="6">
        <v>399.98</v>
      </c>
    </row>
    <row r="383" spans="1:14">
      <c r="A383" s="4" t="str">
        <v>TRX0169</v>
      </c>
      <c r="B383" s="5">
        <v>45490</v>
      </c>
      <c r="C383" s="4" t="str">
        <v>CUST047</v>
      </c>
      <c r="D383" s="4" t="str">
        <v>Gerald Murphy</v>
      </c>
      <c r="E383" s="4" t="str">
        <v>P005</v>
      </c>
      <c r="F383" s="4" t="str">
        <v>Blender</v>
      </c>
      <c r="G383" s="4" t="str">
        <v>Appliances</v>
      </c>
      <c r="H383" s="4">
        <v>3</v>
      </c>
      <c r="I383" s="6">
        <v>59.99</v>
      </c>
      <c r="J383" s="4" t="str">
        <v>Credit Card</v>
      </c>
      <c r="K383" s="4" t="str">
        <v>West</v>
      </c>
      <c r="L383" s="4" t="str">
        <v>Basic</v>
      </c>
      <c r="M383" s="5">
        <v>45130</v>
      </c>
      <c r="N383" s="6">
        <v>179.97</v>
      </c>
    </row>
    <row r="384" spans="1:14">
      <c r="A384" s="4" t="str">
        <v>TRX0216</v>
      </c>
      <c r="B384" s="5">
        <v>45490</v>
      </c>
      <c r="C384" s="4" t="str">
        <v>CUST041</v>
      </c>
      <c r="D384" s="4" t="str">
        <v>Peter Richardson</v>
      </c>
      <c r="E384" s="4" t="str">
        <v>P008</v>
      </c>
      <c r="F384" s="4" t="str">
        <v>Bookshelf</v>
      </c>
      <c r="G384" s="4" t="str">
        <v>Furniture</v>
      </c>
      <c r="H384" s="4">
        <v>3</v>
      </c>
      <c r="I384" s="6">
        <v>149.99</v>
      </c>
      <c r="J384" s="4" t="str">
        <v>Cash</v>
      </c>
      <c r="K384" s="4" t="str">
        <v>Central</v>
      </c>
      <c r="L384" s="4" t="str">
        <v>Premium</v>
      </c>
      <c r="M384" s="5">
        <v>45199</v>
      </c>
      <c r="N384" s="6">
        <v>449.97</v>
      </c>
    </row>
    <row r="385" spans="1:14">
      <c r="A385" s="4" t="str">
        <v>TRX0131</v>
      </c>
      <c r="B385" s="5">
        <v>45491</v>
      </c>
      <c r="C385" s="4" t="str">
        <v>CUST026</v>
      </c>
      <c r="D385" s="4" t="str">
        <v>Karen Hill</v>
      </c>
      <c r="E385" s="4" t="str">
        <v>P006</v>
      </c>
      <c r="F385" s="4" t="str">
        <v>Office Chair</v>
      </c>
      <c r="G385" s="4" t="str">
        <v>Furniture</v>
      </c>
      <c r="H385" s="4">
        <v>3</v>
      </c>
      <c r="I385" s="6">
        <v>199.99</v>
      </c>
      <c r="J385" s="4" t="str">
        <v>Cash</v>
      </c>
      <c r="K385" s="4" t="str">
        <v>North</v>
      </c>
      <c r="L385" s="4" t="str">
        <v>Premium</v>
      </c>
      <c r="M385" s="5">
        <v>45254</v>
      </c>
      <c r="N385" s="6">
        <v>599.97</v>
      </c>
    </row>
    <row r="386" spans="1:14">
      <c r="A386" s="4" t="str">
        <v>TRX0162</v>
      </c>
      <c r="B386" s="5">
        <v>45496</v>
      </c>
      <c r="C386" s="4" t="str">
        <v>CUST040</v>
      </c>
      <c r="D386" s="4" t="str">
        <v>Sharon Butler</v>
      </c>
      <c r="E386" s="4" t="str">
        <v>P001</v>
      </c>
      <c r="F386" s="4" t="str">
        <v>Laptop</v>
      </c>
      <c r="G386" s="4" t="str">
        <v>Electronics</v>
      </c>
      <c r="H386" s="4">
        <v>1</v>
      </c>
      <c r="I386" s="6">
        <v>899.99</v>
      </c>
      <c r="J386" s="4" t="str">
        <v>Cash</v>
      </c>
      <c r="K386" s="4" t="str">
        <v>Central</v>
      </c>
      <c r="L386" s="4" t="str">
        <v>Standard</v>
      </c>
      <c r="M386" s="5">
        <v>45179</v>
      </c>
      <c r="N386" s="6">
        <v>899.99</v>
      </c>
    </row>
    <row r="387" spans="1:14">
      <c r="A387" s="4" t="str">
        <v>TRX0244</v>
      </c>
      <c r="B387" s="5">
        <v>45497</v>
      </c>
      <c r="C387" s="4" t="str">
        <v>CUST013</v>
      </c>
      <c r="D387" s="4" t="str">
        <v>Joseph Jackson</v>
      </c>
      <c r="E387" s="4" t="str">
        <v>P001</v>
      </c>
      <c r="F387" s="4" t="str">
        <v>Laptop</v>
      </c>
      <c r="G387" s="4" t="str">
        <v>Electronics</v>
      </c>
      <c r="H387" s="4">
        <v>5</v>
      </c>
      <c r="I387" s="6">
        <v>899.99</v>
      </c>
      <c r="J387" s="4" t="str">
        <v>Debit Card</v>
      </c>
      <c r="K387" s="4" t="str">
        <v>South</v>
      </c>
      <c r="L387" s="4" t="str">
        <v>Standard</v>
      </c>
      <c r="M387" s="5">
        <v>44899</v>
      </c>
      <c r="N387" s="6">
        <v>4499.95</v>
      </c>
    </row>
    <row r="388" spans="1:14">
      <c r="A388" s="4" t="str">
        <v>TRX0006</v>
      </c>
      <c r="B388" s="5">
        <v>45498</v>
      </c>
      <c r="C388" s="4" t="str">
        <v>CUST007</v>
      </c>
      <c r="D388" s="4" t="str">
        <v>David Martinez</v>
      </c>
      <c r="E388" s="4" t="str">
        <v>P005</v>
      </c>
      <c r="F388" s="4" t="str">
        <v>Blender</v>
      </c>
      <c r="G388" s="4" t="str">
        <v>Appliances</v>
      </c>
      <c r="H388" s="4">
        <v>2</v>
      </c>
      <c r="I388" s="6">
        <v>59.99</v>
      </c>
      <c r="J388" s="4" t="str">
        <v>Cash</v>
      </c>
      <c r="K388" s="4" t="str">
        <v>North</v>
      </c>
      <c r="L388" s="4" t="str">
        <v>Standard</v>
      </c>
      <c r="M388" s="5">
        <v>45152</v>
      </c>
      <c r="N388" s="6">
        <v>119.98</v>
      </c>
    </row>
    <row r="389" spans="1:14">
      <c r="A389" s="4" t="str">
        <v>TRX0215</v>
      </c>
      <c r="B389" s="5">
        <v>45498</v>
      </c>
      <c r="C389" s="4" t="str">
        <v>CUST047</v>
      </c>
      <c r="D389" s="4" t="str">
        <v>Gerald Murphy</v>
      </c>
      <c r="E389" s="4" t="str">
        <v>P009</v>
      </c>
      <c r="F389" s="4" t="str">
        <v>Monitor</v>
      </c>
      <c r="G389" s="4" t="str">
        <v>Electronics</v>
      </c>
      <c r="H389" s="4">
        <v>4</v>
      </c>
      <c r="I389" s="6">
        <v>249.99</v>
      </c>
      <c r="J389" s="4" t="str">
        <v>Debit Card</v>
      </c>
      <c r="K389" s="4" t="str">
        <v>Central</v>
      </c>
      <c r="L389" s="4" t="str">
        <v>Standard</v>
      </c>
      <c r="M389" s="5">
        <v>45127</v>
      </c>
      <c r="N389" s="6">
        <v>999.96</v>
      </c>
    </row>
    <row r="390" spans="1:14">
      <c r="A390" s="4" t="str">
        <v>TRX0080</v>
      </c>
      <c r="B390" s="5">
        <v>45500</v>
      </c>
      <c r="C390" s="4" t="str">
        <v>CUST018</v>
      </c>
      <c r="D390" s="4" t="str">
        <v>Barbara Young</v>
      </c>
      <c r="E390" s="4" t="str">
        <v>P009</v>
      </c>
      <c r="F390" s="4" t="str">
        <v>Monitor</v>
      </c>
      <c r="G390" s="4" t="str">
        <v>Electronics</v>
      </c>
      <c r="H390" s="4">
        <v>2</v>
      </c>
      <c r="I390" s="6">
        <v>249.99</v>
      </c>
      <c r="J390" s="4" t="str">
        <v>Cash</v>
      </c>
      <c r="K390" s="4" t="str">
        <v>North</v>
      </c>
      <c r="L390" s="4" t="str">
        <v>Premium</v>
      </c>
      <c r="M390" s="5">
        <v>45164</v>
      </c>
      <c r="N390" s="6">
        <v>499.98</v>
      </c>
    </row>
    <row r="391" spans="1:14">
      <c r="A391" s="4" t="str">
        <v>TRX0228</v>
      </c>
      <c r="B391" s="5">
        <v>45500</v>
      </c>
      <c r="C391" s="4" t="str">
        <v>CUST019</v>
      </c>
      <c r="D391" s="4" t="str">
        <v>Daniel King</v>
      </c>
      <c r="E391" s="4" t="str">
        <v>P007</v>
      </c>
      <c r="F391" s="4" t="str">
        <v>Desk</v>
      </c>
      <c r="G391" s="4" t="str">
        <v>Furniture</v>
      </c>
      <c r="H391" s="4">
        <v>1</v>
      </c>
      <c r="I391" s="6">
        <v>299.99</v>
      </c>
      <c r="J391" s="4" t="str">
        <v>Cash</v>
      </c>
      <c r="K391" s="4" t="str">
        <v>South</v>
      </c>
      <c r="L391" s="4" t="str">
        <v>Basic</v>
      </c>
      <c r="M391" s="5">
        <v>44982</v>
      </c>
      <c r="N391" s="6">
        <v>299.99</v>
      </c>
    </row>
    <row r="392" spans="1:14">
      <c r="A392" s="4" t="str">
        <v>TRX0157</v>
      </c>
      <c r="B392" s="5">
        <v>45501</v>
      </c>
      <c r="C392" s="4" t="str">
        <v>CUST025</v>
      </c>
      <c r="D392" s="4" t="str">
        <v>Mark Carter</v>
      </c>
      <c r="E392" s="4" t="str">
        <v>P010</v>
      </c>
      <c r="F392" s="4" t="str">
        <v>Keyboard</v>
      </c>
      <c r="G392" s="4" t="str">
        <v>Electronics</v>
      </c>
      <c r="H392" s="4">
        <v>2</v>
      </c>
      <c r="I392" s="6">
        <v>89.99</v>
      </c>
      <c r="J392" s="4" t="str">
        <v>PayPal</v>
      </c>
      <c r="K392" s="4" t="str">
        <v>South</v>
      </c>
      <c r="L392" s="4" t="str">
        <v>Basic</v>
      </c>
      <c r="M392" s="5">
        <v>44976</v>
      </c>
      <c r="N392" s="6">
        <v>179.98</v>
      </c>
    </row>
    <row r="393" spans="1:14">
      <c r="A393" s="4" t="str">
        <v>TRX0002</v>
      </c>
      <c r="B393" s="5">
        <v>45501</v>
      </c>
      <c r="C393" s="4" t="str">
        <v>CUST019</v>
      </c>
      <c r="D393" s="4" t="str">
        <v>Daniel King</v>
      </c>
      <c r="E393" s="4" t="str">
        <v>P007</v>
      </c>
      <c r="F393" s="4" t="str">
        <v>Desk</v>
      </c>
      <c r="G393" s="4" t="str">
        <v>Furniture</v>
      </c>
      <c r="H393" s="4">
        <v>3</v>
      </c>
      <c r="I393" s="6">
        <v>299.99</v>
      </c>
      <c r="J393" s="4" t="str">
        <v>Cash</v>
      </c>
      <c r="K393" s="4" t="str">
        <v>Central</v>
      </c>
      <c r="L393" s="4" t="str">
        <v>Basic</v>
      </c>
      <c r="M393" s="5">
        <v>44732</v>
      </c>
      <c r="N393" s="6">
        <v>899.97</v>
      </c>
    </row>
    <row r="394" spans="1:14">
      <c r="A394" s="4" t="str">
        <v>TRX0217</v>
      </c>
      <c r="B394" s="5">
        <v>45503</v>
      </c>
      <c r="C394" s="4" t="str">
        <v>CUST025</v>
      </c>
      <c r="D394" s="4" t="str">
        <v>Mark Carter</v>
      </c>
      <c r="E394" s="4" t="str">
        <v>P002</v>
      </c>
      <c r="F394" s="4" t="str">
        <v>Smartphone</v>
      </c>
      <c r="G394" s="4" t="str">
        <v>Electronics</v>
      </c>
      <c r="H394" s="4">
        <v>2</v>
      </c>
      <c r="I394" s="6">
        <v>699.99</v>
      </c>
      <c r="J394" s="4" t="str">
        <v>Credit Card</v>
      </c>
      <c r="K394" s="4" t="str">
        <v>North</v>
      </c>
      <c r="L394" s="4" t="str">
        <v>Premium</v>
      </c>
      <c r="M394" s="5">
        <v>44999</v>
      </c>
      <c r="N394" s="6">
        <v>1399.98</v>
      </c>
    </row>
    <row r="395" spans="1:14">
      <c r="A395" s="4" t="str">
        <v>TRX0249</v>
      </c>
      <c r="B395" s="5">
        <v>45504</v>
      </c>
      <c r="C395" s="4" t="str">
        <v>CUST030</v>
      </c>
      <c r="D395" s="4" t="str">
        <v>Helen Roberts</v>
      </c>
      <c r="E395" s="4" t="str">
        <v>P001</v>
      </c>
      <c r="F395" s="4" t="str">
        <v>Laptop</v>
      </c>
      <c r="G395" s="4" t="str">
        <v>Electronics</v>
      </c>
      <c r="H395" s="4">
        <v>4</v>
      </c>
      <c r="I395" s="6">
        <v>899.99</v>
      </c>
      <c r="J395" s="4" t="str">
        <v>Debit Card</v>
      </c>
      <c r="K395" s="4" t="str">
        <v>South</v>
      </c>
      <c r="L395" s="4" t="str">
        <v>Standard</v>
      </c>
      <c r="M395" s="5">
        <v>44523</v>
      </c>
      <c r="N395" s="6">
        <v>3599.96</v>
      </c>
    </row>
    <row r="396" spans="1:14">
      <c r="A396" s="4" t="str">
        <v>TRX0065</v>
      </c>
      <c r="B396" s="5">
        <v>45509</v>
      </c>
      <c r="C396" s="4" t="str">
        <v>CUST016</v>
      </c>
      <c r="D396" s="4" t="str">
        <v>Elizabeth Hall</v>
      </c>
      <c r="E396" s="4" t="str">
        <v>P008</v>
      </c>
      <c r="F396" s="4" t="str">
        <v>Bookshelf</v>
      </c>
      <c r="G396" s="4" t="str">
        <v>Furniture</v>
      </c>
      <c r="H396" s="4">
        <v>2</v>
      </c>
      <c r="I396" s="6">
        <v>149.99</v>
      </c>
      <c r="J396" s="4" t="str">
        <v>Credit Card</v>
      </c>
      <c r="K396" s="4" t="str">
        <v>West</v>
      </c>
      <c r="L396" s="4" t="str">
        <v>Basic</v>
      </c>
      <c r="M396" s="5">
        <v>44542</v>
      </c>
      <c r="N396" s="6">
        <v>299.98</v>
      </c>
    </row>
    <row r="397" spans="1:14">
      <c r="A397" s="4" t="str">
        <v>TRX0176</v>
      </c>
      <c r="B397" s="5">
        <v>45510</v>
      </c>
      <c r="C397" s="4" t="str">
        <v>CUST044</v>
      </c>
      <c r="D397" s="4" t="str">
        <v>Cynthia Price</v>
      </c>
      <c r="E397" s="4" t="str">
        <v>P008</v>
      </c>
      <c r="F397" s="4" t="str">
        <v>Bookshelf</v>
      </c>
      <c r="G397" s="4" t="str">
        <v>Furniture</v>
      </c>
      <c r="H397" s="4">
        <v>2</v>
      </c>
      <c r="I397" s="6">
        <v>149.99</v>
      </c>
      <c r="J397" s="4" t="str">
        <v>Debit Card</v>
      </c>
      <c r="K397" s="4" t="str">
        <v>East</v>
      </c>
      <c r="L397" s="4" t="str">
        <v>Standard</v>
      </c>
      <c r="M397" s="5">
        <v>44667</v>
      </c>
      <c r="N397" s="6">
        <v>299.98</v>
      </c>
    </row>
    <row r="398" spans="1:14">
      <c r="A398" s="4" t="str">
        <v>TRX0101</v>
      </c>
      <c r="B398" s="5">
        <v>45513</v>
      </c>
      <c r="C398" s="4" t="str">
        <v>CUST010</v>
      </c>
      <c r="D398" s="4" t="str">
        <v>Maria Garcia</v>
      </c>
      <c r="E398" s="4" t="str">
        <v>P010</v>
      </c>
      <c r="F398" s="4" t="str">
        <v>Keyboard</v>
      </c>
      <c r="G398" s="4" t="str">
        <v>Electronics</v>
      </c>
      <c r="H398" s="4">
        <v>1</v>
      </c>
      <c r="I398" s="6">
        <v>89.99</v>
      </c>
      <c r="J398" s="4" t="str">
        <v>Credit Card</v>
      </c>
      <c r="K398" s="4" t="str">
        <v>North</v>
      </c>
      <c r="L398" s="4" t="str">
        <v>Standard</v>
      </c>
      <c r="M398" s="5">
        <v>45393</v>
      </c>
      <c r="N398" s="6">
        <v>89.99</v>
      </c>
    </row>
    <row r="399" spans="1:14">
      <c r="A399" s="4" t="str">
        <v>TRX0205</v>
      </c>
      <c r="B399" s="5">
        <v>45515</v>
      </c>
      <c r="C399" s="4" t="str">
        <v>CUST025</v>
      </c>
      <c r="D399" s="4" t="str">
        <v>Mark Carter</v>
      </c>
      <c r="E399" s="4" t="str">
        <v>P007</v>
      </c>
      <c r="F399" s="4" t="str">
        <v>Desk</v>
      </c>
      <c r="G399" s="4" t="str">
        <v>Furniture</v>
      </c>
      <c r="H399" s="4">
        <v>5</v>
      </c>
      <c r="I399" s="6">
        <v>299.99</v>
      </c>
      <c r="J399" s="4" t="str">
        <v>Credit Card</v>
      </c>
      <c r="K399" s="4" t="str">
        <v>North</v>
      </c>
      <c r="L399" s="4" t="str">
        <v>Basic</v>
      </c>
      <c r="M399" s="5">
        <v>44965</v>
      </c>
      <c r="N399" s="6">
        <v>1499.95</v>
      </c>
    </row>
    <row r="400" spans="1:14">
      <c r="A400" s="4" t="str">
        <v>TRX0020</v>
      </c>
      <c r="B400" s="5">
        <v>45517</v>
      </c>
      <c r="C400" s="4" t="str">
        <v>CUST007</v>
      </c>
      <c r="D400" s="4" t="str">
        <v>David Martinez</v>
      </c>
      <c r="E400" s="4" t="str">
        <v>P003</v>
      </c>
      <c r="F400" s="4" t="str">
        <v>Headphones</v>
      </c>
      <c r="G400" s="4" t="str">
        <v>Electronics</v>
      </c>
      <c r="H400" s="4">
        <v>4</v>
      </c>
      <c r="I400" s="6">
        <v>149.99</v>
      </c>
      <c r="J400" s="4" t="str">
        <v>Debit Card</v>
      </c>
      <c r="K400" s="4" t="str">
        <v>South</v>
      </c>
      <c r="L400" s="4" t="str">
        <v>Premium</v>
      </c>
      <c r="M400" s="5">
        <v>44820</v>
      </c>
      <c r="N400" s="6">
        <v>599.96</v>
      </c>
    </row>
    <row r="401" spans="1:14">
      <c r="A401" s="4" t="str">
        <v>TRX0075</v>
      </c>
      <c r="B401" s="5">
        <v>45517</v>
      </c>
      <c r="C401" s="4" t="str">
        <v>CUST020</v>
      </c>
      <c r="D401" s="4" t="str">
        <v>Margaret Wright</v>
      </c>
      <c r="E401" s="4" t="str">
        <v>P009</v>
      </c>
      <c r="F401" s="4" t="str">
        <v>Monitor</v>
      </c>
      <c r="G401" s="4" t="str">
        <v>Electronics</v>
      </c>
      <c r="H401" s="4">
        <v>5</v>
      </c>
      <c r="I401" s="6">
        <v>249.99</v>
      </c>
      <c r="J401" s="4" t="str">
        <v>PayPal</v>
      </c>
      <c r="K401" s="4" t="str">
        <v>East</v>
      </c>
      <c r="L401" s="4" t="str">
        <v>Premium</v>
      </c>
      <c r="M401" s="5">
        <v>44782</v>
      </c>
      <c r="N401" s="6">
        <v>1249.95</v>
      </c>
    </row>
    <row r="402" spans="1:14">
      <c r="A402" s="4" t="str">
        <v>TRX0098</v>
      </c>
      <c r="B402" s="5">
        <v>45517</v>
      </c>
      <c r="C402" s="4" t="str">
        <v>CUST026</v>
      </c>
      <c r="D402" s="4" t="str">
        <v>Karen Hill</v>
      </c>
      <c r="E402" s="4" t="str">
        <v>P009</v>
      </c>
      <c r="F402" s="4" t="str">
        <v>Monitor</v>
      </c>
      <c r="G402" s="4" t="str">
        <v>Electronics</v>
      </c>
      <c r="H402" s="4">
        <v>3</v>
      </c>
      <c r="I402" s="6">
        <v>249.99</v>
      </c>
      <c r="J402" s="4" t="str">
        <v>PayPal</v>
      </c>
      <c r="K402" s="4" t="str">
        <v>North</v>
      </c>
      <c r="L402" s="4" t="str">
        <v>Premium</v>
      </c>
      <c r="M402" s="5">
        <v>44465</v>
      </c>
      <c r="N402" s="6">
        <v>749.97</v>
      </c>
    </row>
    <row r="403" spans="1:14">
      <c r="A403" s="4" t="str">
        <v>TRX0247</v>
      </c>
      <c r="B403" s="5">
        <v>45517</v>
      </c>
      <c r="C403" s="4" t="str">
        <v>CUST046</v>
      </c>
      <c r="D403" s="4" t="str">
        <v>Kathleen Bennett</v>
      </c>
      <c r="E403" s="4" t="str">
        <v>P006</v>
      </c>
      <c r="F403" s="4" t="str">
        <v>Office Chair</v>
      </c>
      <c r="G403" s="4" t="str">
        <v>Furniture</v>
      </c>
      <c r="H403" s="4">
        <v>4</v>
      </c>
      <c r="I403" s="6">
        <v>199.99</v>
      </c>
      <c r="J403" s="4" t="str">
        <v>Cash</v>
      </c>
      <c r="K403" s="4" t="str">
        <v>North</v>
      </c>
      <c r="L403" s="4" t="str">
        <v>Standard</v>
      </c>
      <c r="M403" s="5">
        <v>44458</v>
      </c>
      <c r="N403" s="6">
        <v>799.96</v>
      </c>
    </row>
    <row r="404" spans="1:14">
      <c r="A404" s="4" t="str">
        <v>TRX0027</v>
      </c>
      <c r="B404" s="5">
        <v>45519</v>
      </c>
      <c r="C404" s="4" t="str">
        <v>CUST028</v>
      </c>
      <c r="D404" s="4" t="str">
        <v>Betty Campbell</v>
      </c>
      <c r="E404" s="4" t="str">
        <v>P006</v>
      </c>
      <c r="F404" s="4" t="str">
        <v>Office Chair</v>
      </c>
      <c r="G404" s="4" t="str">
        <v>Furniture</v>
      </c>
      <c r="H404" s="4">
        <v>5</v>
      </c>
      <c r="I404" s="6">
        <v>199.99</v>
      </c>
      <c r="J404" s="4" t="str">
        <v>Cash</v>
      </c>
      <c r="K404" s="4" t="str">
        <v>North</v>
      </c>
      <c r="L404" s="4" t="str">
        <v>Premium</v>
      </c>
      <c r="M404" s="5">
        <v>44991</v>
      </c>
      <c r="N404" s="6">
        <v>999.95</v>
      </c>
    </row>
    <row r="405" spans="1:14">
      <c r="A405" s="4" t="str">
        <v>TRX0140</v>
      </c>
      <c r="B405" s="5">
        <v>45522</v>
      </c>
      <c r="C405" s="4" t="str">
        <v>CUST025</v>
      </c>
      <c r="D405" s="4" t="str">
        <v>Mark Carter</v>
      </c>
      <c r="E405" s="4" t="str">
        <v>P010</v>
      </c>
      <c r="F405" s="4" t="str">
        <v>Keyboard</v>
      </c>
      <c r="G405" s="4" t="str">
        <v>Electronics</v>
      </c>
      <c r="H405" s="4">
        <v>2</v>
      </c>
      <c r="I405" s="6">
        <v>89.99</v>
      </c>
      <c r="J405" s="4" t="str">
        <v>Cash</v>
      </c>
      <c r="K405" s="4" t="str">
        <v>East</v>
      </c>
      <c r="L405" s="4" t="str">
        <v>Premium</v>
      </c>
      <c r="M405" s="5">
        <v>44972</v>
      </c>
      <c r="N405" s="6">
        <v>179.98</v>
      </c>
    </row>
    <row r="406" spans="1:14">
      <c r="A406" s="4" t="str">
        <v>TRX0132</v>
      </c>
      <c r="B406" s="5">
        <v>45523</v>
      </c>
      <c r="C406" s="4" t="str">
        <v>CUST047</v>
      </c>
      <c r="D406" s="4" t="str">
        <v>Gerald Murphy</v>
      </c>
      <c r="E406" s="4" t="str">
        <v>P001</v>
      </c>
      <c r="F406" s="4" t="str">
        <v>Laptop</v>
      </c>
      <c r="G406" s="4" t="str">
        <v>Electronics</v>
      </c>
      <c r="H406" s="4">
        <v>5</v>
      </c>
      <c r="I406" s="6">
        <v>899.99</v>
      </c>
      <c r="J406" s="4" t="str">
        <v>Debit Card</v>
      </c>
      <c r="K406" s="4" t="str">
        <v>East</v>
      </c>
      <c r="L406" s="4" t="str">
        <v>Basic</v>
      </c>
      <c r="M406" s="5">
        <v>44526</v>
      </c>
      <c r="N406" s="6">
        <v>4499.95</v>
      </c>
    </row>
    <row r="407" spans="1:14">
      <c r="A407" s="4" t="str">
        <v>TRX0031</v>
      </c>
      <c r="B407" s="5">
        <v>45523</v>
      </c>
      <c r="C407" s="4" t="str">
        <v>CUST036</v>
      </c>
      <c r="D407" s="4" t="str">
        <v>Nancy Collins</v>
      </c>
      <c r="E407" s="4" t="str">
        <v>P003</v>
      </c>
      <c r="F407" s="4" t="str">
        <v>Headphones</v>
      </c>
      <c r="G407" s="4" t="str">
        <v>Electronics</v>
      </c>
      <c r="H407" s="4">
        <v>3</v>
      </c>
      <c r="I407" s="6">
        <v>149.99</v>
      </c>
      <c r="J407" s="4" t="str">
        <v>PayPal</v>
      </c>
      <c r="K407" s="4" t="str">
        <v>East</v>
      </c>
      <c r="L407" s="4" t="str">
        <v>Basic</v>
      </c>
      <c r="M407" s="5">
        <v>44574</v>
      </c>
      <c r="N407" s="6">
        <v>449.97</v>
      </c>
    </row>
    <row r="408" spans="1:14">
      <c r="A408" s="4" t="str">
        <v>TRX0236</v>
      </c>
      <c r="B408" s="5">
        <v>45526</v>
      </c>
      <c r="C408" s="4" t="str">
        <v>CUST044</v>
      </c>
      <c r="D408" s="4" t="str">
        <v>Cynthia Price</v>
      </c>
      <c r="E408" s="4" t="str">
        <v>P008</v>
      </c>
      <c r="F408" s="4" t="str">
        <v>Bookshelf</v>
      </c>
      <c r="G408" s="4" t="str">
        <v>Furniture</v>
      </c>
      <c r="H408" s="4">
        <v>5</v>
      </c>
      <c r="I408" s="6">
        <v>149.99</v>
      </c>
      <c r="J408" s="4" t="str">
        <v>Credit Card</v>
      </c>
      <c r="K408" s="4" t="str">
        <v>Central</v>
      </c>
      <c r="L408" s="4" t="str">
        <v>Basic</v>
      </c>
      <c r="M408" s="5">
        <v>45310</v>
      </c>
      <c r="N408" s="6">
        <v>749.95</v>
      </c>
    </row>
    <row r="409" spans="1:14">
      <c r="A409" s="4" t="str">
        <v>TRX0001</v>
      </c>
      <c r="B409" s="5">
        <v>45528</v>
      </c>
      <c r="C409" s="4" t="str">
        <v>CUST039</v>
      </c>
      <c r="D409" s="4" t="str">
        <v>Lawrence Reed</v>
      </c>
      <c r="E409" s="4" t="str">
        <v>P004</v>
      </c>
      <c r="F409" s="4" t="str">
        <v>Coffee Maker</v>
      </c>
      <c r="G409" s="4" t="str">
        <v>Appliances</v>
      </c>
      <c r="H409" s="4">
        <v>3</v>
      </c>
      <c r="I409" s="6">
        <v>79.989999999999995</v>
      </c>
      <c r="J409" s="4" t="str">
        <v>Cash</v>
      </c>
      <c r="K409" s="4" t="str">
        <v>Central</v>
      </c>
      <c r="L409" s="4" t="str">
        <v>Premium</v>
      </c>
      <c r="M409" s="5">
        <v>44779</v>
      </c>
      <c r="N409" s="6">
        <v>239.97</v>
      </c>
    </row>
    <row r="410" spans="1:14">
      <c r="A410" s="4" t="str">
        <v>TRX0037</v>
      </c>
      <c r="B410" s="5">
        <v>45528</v>
      </c>
      <c r="C410" s="4" t="str">
        <v>CUST035</v>
      </c>
      <c r="D410" s="4" t="str">
        <v>Harry Morgan</v>
      </c>
      <c r="E410" s="4" t="str">
        <v>P009</v>
      </c>
      <c r="F410" s="4" t="str">
        <v>Monitor</v>
      </c>
      <c r="G410" s="4" t="str">
        <v>Electronics</v>
      </c>
      <c r="H410" s="4">
        <v>2</v>
      </c>
      <c r="I410" s="6">
        <v>249.99</v>
      </c>
      <c r="J410" s="4" t="str">
        <v>Cash</v>
      </c>
      <c r="K410" s="4" t="str">
        <v>South</v>
      </c>
      <c r="L410" s="4" t="str">
        <v>Standard</v>
      </c>
      <c r="M410" s="5">
        <v>44572</v>
      </c>
      <c r="N410" s="6">
        <v>499.98</v>
      </c>
    </row>
    <row r="411" spans="1:14">
      <c r="A411" s="4" t="str">
        <v>TRX0058</v>
      </c>
      <c r="B411" s="5">
        <v>45532</v>
      </c>
      <c r="C411" s="4" t="str">
        <v>CUST047</v>
      </c>
      <c r="D411" s="4" t="str">
        <v>Gerald Murphy</v>
      </c>
      <c r="E411" s="4" t="str">
        <v>P002</v>
      </c>
      <c r="F411" s="4" t="str">
        <v>Smartphone</v>
      </c>
      <c r="G411" s="4" t="str">
        <v>Electronics</v>
      </c>
      <c r="H411" s="4">
        <v>1</v>
      </c>
      <c r="I411" s="6">
        <v>699.99</v>
      </c>
      <c r="J411" s="4" t="str">
        <v>Cash</v>
      </c>
      <c r="K411" s="4" t="str">
        <v>Central</v>
      </c>
      <c r="L411" s="4" t="str">
        <v>Premium</v>
      </c>
      <c r="M411" s="5">
        <v>44497</v>
      </c>
      <c r="N411" s="6">
        <v>699.99</v>
      </c>
    </row>
    <row r="412" spans="1:14">
      <c r="A412" s="4" t="str">
        <v>TRX0170</v>
      </c>
      <c r="B412" s="5">
        <v>45532</v>
      </c>
      <c r="C412" s="4" t="str">
        <v>CUST034</v>
      </c>
      <c r="D412" s="4" t="str">
        <v>Carol Evans</v>
      </c>
      <c r="E412" s="4" t="str">
        <v>P003</v>
      </c>
      <c r="F412" s="4" t="str">
        <v>Headphones</v>
      </c>
      <c r="G412" s="4" t="str">
        <v>Electronics</v>
      </c>
      <c r="H412" s="4">
        <v>3</v>
      </c>
      <c r="I412" s="6">
        <v>149.99</v>
      </c>
      <c r="J412" s="4" t="str">
        <v>Cash</v>
      </c>
      <c r="K412" s="4" t="str">
        <v>West</v>
      </c>
      <c r="L412" s="4" t="str">
        <v>Premium</v>
      </c>
      <c r="M412" s="5">
        <v>45212</v>
      </c>
      <c r="N412" s="6">
        <v>449.97</v>
      </c>
    </row>
    <row r="413" spans="1:14">
      <c r="A413" s="4" t="str">
        <v>TRX0248</v>
      </c>
      <c r="B413" s="5">
        <v>45534</v>
      </c>
      <c r="C413" s="4" t="str">
        <v>CUST032</v>
      </c>
      <c r="D413" s="4" t="str">
        <v>Sandra Phillips</v>
      </c>
      <c r="E413" s="4" t="str">
        <v>P002</v>
      </c>
      <c r="F413" s="4" t="str">
        <v>Smartphone</v>
      </c>
      <c r="G413" s="4" t="str">
        <v>Electronics</v>
      </c>
      <c r="H413" s="4">
        <v>2</v>
      </c>
      <c r="I413" s="6">
        <v>699.99</v>
      </c>
      <c r="J413" s="4" t="str">
        <v>Credit Card</v>
      </c>
      <c r="K413" s="4" t="str">
        <v>North</v>
      </c>
      <c r="L413" s="4" t="str">
        <v>Premium</v>
      </c>
      <c r="M413" s="5">
        <v>44421</v>
      </c>
      <c r="N413" s="6">
        <v>1399.98</v>
      </c>
    </row>
    <row r="414" spans="1:14">
      <c r="A414" s="4" t="str">
        <v>TRX0099</v>
      </c>
      <c r="B414" s="5">
        <v>45537</v>
      </c>
      <c r="C414" s="4" t="str">
        <v>CUST034</v>
      </c>
      <c r="D414" s="4" t="str">
        <v>Carol Evans</v>
      </c>
      <c r="E414" s="4" t="str">
        <v>P009</v>
      </c>
      <c r="F414" s="4" t="str">
        <v>Monitor</v>
      </c>
      <c r="G414" s="4" t="str">
        <v>Electronics</v>
      </c>
      <c r="H414" s="4">
        <v>1</v>
      </c>
      <c r="I414" s="6">
        <v>249.99</v>
      </c>
      <c r="J414" s="4" t="str">
        <v>Credit Card</v>
      </c>
      <c r="K414" s="4" t="str">
        <v>West</v>
      </c>
      <c r="L414" s="4" t="str">
        <v>Premium</v>
      </c>
      <c r="M414" s="5">
        <v>44685</v>
      </c>
      <c r="N414" s="6">
        <v>249.99</v>
      </c>
    </row>
    <row r="415" spans="1:14">
      <c r="A415" s="4" t="str">
        <v>TRX0074</v>
      </c>
      <c r="B415" s="5">
        <v>45537</v>
      </c>
      <c r="C415" s="4" t="str">
        <v>CUST023</v>
      </c>
      <c r="D415" s="4" t="str">
        <v>Paul Baker</v>
      </c>
      <c r="E415" s="4" t="str">
        <v>P009</v>
      </c>
      <c r="F415" s="4" t="str">
        <v>Monitor</v>
      </c>
      <c r="G415" s="4" t="str">
        <v>Electronics</v>
      </c>
      <c r="H415" s="4">
        <v>1</v>
      </c>
      <c r="I415" s="6">
        <v>249.99</v>
      </c>
      <c r="J415" s="4" t="str">
        <v>Debit Card</v>
      </c>
      <c r="K415" s="4" t="str">
        <v>North</v>
      </c>
      <c r="L415" s="4" t="str">
        <v>Premium</v>
      </c>
      <c r="M415" s="5">
        <v>45332</v>
      </c>
      <c r="N415" s="6">
        <v>249.99</v>
      </c>
    </row>
    <row r="416" spans="1:14">
      <c r="A416" s="4" t="str">
        <v>TRX0225</v>
      </c>
      <c r="B416" s="5">
        <v>45538</v>
      </c>
      <c r="C416" s="4" t="str">
        <v>CUST039</v>
      </c>
      <c r="D416" s="4" t="str">
        <v>Lawrence Reed</v>
      </c>
      <c r="E416" s="4" t="str">
        <v>P002</v>
      </c>
      <c r="F416" s="4" t="str">
        <v>Smartphone</v>
      </c>
      <c r="G416" s="4" t="str">
        <v>Electronics</v>
      </c>
      <c r="H416" s="4">
        <v>2</v>
      </c>
      <c r="I416" s="6">
        <v>699.99</v>
      </c>
      <c r="J416" s="4" t="str">
        <v>Debit Card</v>
      </c>
      <c r="K416" s="4" t="str">
        <v>Central</v>
      </c>
      <c r="L416" s="4" t="str">
        <v>Premium</v>
      </c>
      <c r="M416" s="5">
        <v>44870</v>
      </c>
      <c r="N416" s="6">
        <v>1399.98</v>
      </c>
    </row>
    <row r="417" spans="1:14">
      <c r="A417" s="4" t="str">
        <v>TRX0100</v>
      </c>
      <c r="B417" s="5">
        <v>45541</v>
      </c>
      <c r="C417" s="4" t="str">
        <v>CUST031</v>
      </c>
      <c r="D417" s="4" t="str">
        <v>Steven Turner</v>
      </c>
      <c r="E417" s="4" t="str">
        <v>P005</v>
      </c>
      <c r="F417" s="4" t="str">
        <v>Blender</v>
      </c>
      <c r="G417" s="4" t="str">
        <v>Appliances</v>
      </c>
      <c r="H417" s="4">
        <v>3</v>
      </c>
      <c r="I417" s="6">
        <v>59.99</v>
      </c>
      <c r="J417" s="4" t="str">
        <v>Credit Card</v>
      </c>
      <c r="K417" s="4" t="str">
        <v>Central</v>
      </c>
      <c r="L417" s="4" t="str">
        <v>Premium</v>
      </c>
      <c r="M417" s="5">
        <v>44717</v>
      </c>
      <c r="N417" s="6">
        <v>179.97</v>
      </c>
    </row>
    <row r="418" spans="1:14">
      <c r="A418" s="4" t="str">
        <v>TRX0142</v>
      </c>
      <c r="B418" s="5">
        <v>45544</v>
      </c>
      <c r="C418" s="4" t="str">
        <v>CUST002</v>
      </c>
      <c r="D418" s="4" t="str">
        <v>Emma Wilson</v>
      </c>
      <c r="E418" s="4" t="str">
        <v>P005</v>
      </c>
      <c r="F418" s="4" t="str">
        <v>Blender</v>
      </c>
      <c r="G418" s="4" t="str">
        <v>Appliances</v>
      </c>
      <c r="H418" s="4">
        <v>3</v>
      </c>
      <c r="I418" s="6">
        <v>59.99</v>
      </c>
      <c r="J418" s="4" t="str">
        <v>PayPal</v>
      </c>
      <c r="K418" s="4" t="str">
        <v>East</v>
      </c>
      <c r="L418" s="4" t="str">
        <v>Standard</v>
      </c>
      <c r="M418" s="5">
        <v>44748</v>
      </c>
      <c r="N418" s="6">
        <v>179.97</v>
      </c>
    </row>
    <row r="419" spans="1:14">
      <c r="A419" s="4" t="str">
        <v>TRX0112</v>
      </c>
      <c r="B419" s="5">
        <v>45544</v>
      </c>
      <c r="C419" s="4" t="str">
        <v>CUST008</v>
      </c>
      <c r="D419" s="4" t="str">
        <v>Jennifer Taylor</v>
      </c>
      <c r="E419" s="4" t="str">
        <v>P004</v>
      </c>
      <c r="F419" s="4" t="str">
        <v>Coffee Maker</v>
      </c>
      <c r="G419" s="4" t="str">
        <v>Appliances</v>
      </c>
      <c r="H419" s="4">
        <v>4</v>
      </c>
      <c r="I419" s="6">
        <v>79.989999999999995</v>
      </c>
      <c r="J419" s="4" t="str">
        <v>Cash</v>
      </c>
      <c r="K419" s="4" t="str">
        <v>North</v>
      </c>
      <c r="L419" s="4" t="str">
        <v>Basic</v>
      </c>
      <c r="M419" s="5">
        <v>44530</v>
      </c>
      <c r="N419" s="6">
        <v>319.95999999999998</v>
      </c>
    </row>
    <row r="420" spans="1:14">
      <c r="A420" s="4" t="str">
        <v>TRX0161</v>
      </c>
      <c r="B420" s="5">
        <v>45545</v>
      </c>
      <c r="C420" s="4" t="str">
        <v>CUST017</v>
      </c>
      <c r="D420" s="4" t="str">
        <v>Charles Allen</v>
      </c>
      <c r="E420" s="4" t="str">
        <v>P004</v>
      </c>
      <c r="F420" s="4" t="str">
        <v>Coffee Maker</v>
      </c>
      <c r="G420" s="4" t="str">
        <v>Appliances</v>
      </c>
      <c r="H420" s="4">
        <v>1</v>
      </c>
      <c r="I420" s="6">
        <v>79.989999999999995</v>
      </c>
      <c r="J420" s="4" t="str">
        <v>Cash</v>
      </c>
      <c r="K420" s="4" t="str">
        <v>West</v>
      </c>
      <c r="L420" s="4" t="str">
        <v>Basic</v>
      </c>
      <c r="M420" s="5">
        <v>44693</v>
      </c>
      <c r="N420" s="6">
        <v>79.989999999999995</v>
      </c>
    </row>
    <row r="421" spans="1:14">
      <c r="A421" s="4" t="str">
        <v>TRX0108</v>
      </c>
      <c r="B421" s="5">
        <v>45547</v>
      </c>
      <c r="C421" s="4" t="str">
        <v>CUST024</v>
      </c>
      <c r="D421" s="4" t="str">
        <v>Dorothy Nelson</v>
      </c>
      <c r="E421" s="4" t="str">
        <v>P007</v>
      </c>
      <c r="F421" s="4" t="str">
        <v>Desk</v>
      </c>
      <c r="G421" s="4" t="str">
        <v>Furniture</v>
      </c>
      <c r="H421" s="4">
        <v>3</v>
      </c>
      <c r="I421" s="6">
        <v>299.99</v>
      </c>
      <c r="J421" s="4" t="str">
        <v>Credit Card</v>
      </c>
      <c r="K421" s="4" t="str">
        <v>Central</v>
      </c>
      <c r="L421" s="4" t="str">
        <v>Premium</v>
      </c>
      <c r="M421" s="5">
        <v>44494</v>
      </c>
      <c r="N421" s="6">
        <v>899.97</v>
      </c>
    </row>
    <row r="422" spans="1:14">
      <c r="A422" s="4" t="str">
        <v>TRX0211</v>
      </c>
      <c r="B422" s="5">
        <v>45548</v>
      </c>
      <c r="C422" s="4" t="str">
        <v>CUST046</v>
      </c>
      <c r="D422" s="4" t="str">
        <v>Kathleen Bennett</v>
      </c>
      <c r="E422" s="4" t="str">
        <v>P010</v>
      </c>
      <c r="F422" s="4" t="str">
        <v>Keyboard</v>
      </c>
      <c r="G422" s="4" t="str">
        <v>Electronics</v>
      </c>
      <c r="H422" s="4">
        <v>2</v>
      </c>
      <c r="I422" s="6">
        <v>89.99</v>
      </c>
      <c r="J422" s="4" t="str">
        <v>Credit Card</v>
      </c>
      <c r="K422" s="4" t="str">
        <v>South</v>
      </c>
      <c r="L422" s="4" t="str">
        <v>Premium</v>
      </c>
      <c r="M422" s="5">
        <v>44641</v>
      </c>
      <c r="N422" s="6">
        <v>179.98</v>
      </c>
    </row>
    <row r="423" spans="1:14">
      <c r="A423" s="4" t="str">
        <v>TRX0005</v>
      </c>
      <c r="B423" s="5">
        <v>45550</v>
      </c>
      <c r="C423" s="4" t="str">
        <v>CUST042</v>
      </c>
      <c r="D423" s="4" t="str">
        <v>Ruth Brooks</v>
      </c>
      <c r="E423" s="4" t="str">
        <v>P003</v>
      </c>
      <c r="F423" s="4" t="str">
        <v>Headphones</v>
      </c>
      <c r="G423" s="4" t="str">
        <v>Electronics</v>
      </c>
      <c r="H423" s="4">
        <v>4</v>
      </c>
      <c r="I423" s="6">
        <v>149.99</v>
      </c>
      <c r="J423" s="4" t="str">
        <v>Cash</v>
      </c>
      <c r="K423" s="4" t="str">
        <v>North</v>
      </c>
      <c r="L423" s="4" t="str">
        <v>Basic</v>
      </c>
      <c r="M423" s="5">
        <v>44909</v>
      </c>
      <c r="N423" s="6">
        <v>599.96</v>
      </c>
    </row>
    <row r="424" spans="1:14">
      <c r="A424" s="4" t="str">
        <v>TRX0195</v>
      </c>
      <c r="B424" s="5">
        <v>45551</v>
      </c>
      <c r="C424" s="4" t="str">
        <v>CUST026</v>
      </c>
      <c r="D424" s="4" t="str">
        <v>Karen Hill</v>
      </c>
      <c r="E424" s="4" t="str">
        <v>P009</v>
      </c>
      <c r="F424" s="4" t="str">
        <v>Monitor</v>
      </c>
      <c r="G424" s="4" t="str">
        <v>Electronics</v>
      </c>
      <c r="H424" s="4">
        <v>2</v>
      </c>
      <c r="I424" s="6">
        <v>249.99</v>
      </c>
      <c r="J424" s="4" t="str">
        <v>PayPal</v>
      </c>
      <c r="K424" s="4" t="str">
        <v>South</v>
      </c>
      <c r="L424" s="4" t="str">
        <v>Basic</v>
      </c>
      <c r="M424" s="5">
        <v>44993</v>
      </c>
      <c r="N424" s="6">
        <v>499.98</v>
      </c>
    </row>
    <row r="425" spans="1:14">
      <c r="A425" s="4" t="str">
        <v>TRX0054</v>
      </c>
      <c r="B425" s="5">
        <v>45551</v>
      </c>
      <c r="C425" s="4" t="str">
        <v>CUST004</v>
      </c>
      <c r="D425" s="4" t="str">
        <v>Sarah Davis</v>
      </c>
      <c r="E425" s="4" t="str">
        <v>P006</v>
      </c>
      <c r="F425" s="4" t="str">
        <v>Office Chair</v>
      </c>
      <c r="G425" s="4" t="str">
        <v>Furniture</v>
      </c>
      <c r="H425" s="4">
        <v>4</v>
      </c>
      <c r="I425" s="6">
        <v>199.99</v>
      </c>
      <c r="J425" s="4" t="str">
        <v>Debit Card</v>
      </c>
      <c r="K425" s="4" t="str">
        <v>East</v>
      </c>
      <c r="L425" s="4" t="str">
        <v>Basic</v>
      </c>
      <c r="M425" s="5">
        <v>44458</v>
      </c>
      <c r="N425" s="6">
        <v>799.96</v>
      </c>
    </row>
    <row r="426" spans="1:14">
      <c r="A426" s="4" t="str">
        <v>TRX0077</v>
      </c>
      <c r="B426" s="5">
        <v>45554</v>
      </c>
      <c r="C426" s="4" t="str">
        <v>CUST019</v>
      </c>
      <c r="D426" s="4" t="str">
        <v>Daniel King</v>
      </c>
      <c r="E426" s="4" t="str">
        <v>P010</v>
      </c>
      <c r="F426" s="4" t="str">
        <v>Keyboard</v>
      </c>
      <c r="G426" s="4" t="str">
        <v>Electronics</v>
      </c>
      <c r="H426" s="4">
        <v>5</v>
      </c>
      <c r="I426" s="6">
        <v>89.99</v>
      </c>
      <c r="J426" s="4" t="str">
        <v>Credit Card</v>
      </c>
      <c r="K426" s="4" t="str">
        <v>East</v>
      </c>
      <c r="L426" s="4" t="str">
        <v>Premium</v>
      </c>
      <c r="M426" s="5">
        <v>44446</v>
      </c>
      <c r="N426" s="6">
        <v>449.95</v>
      </c>
    </row>
    <row r="427" spans="1:14">
      <c r="A427" s="4" t="str">
        <v>TRX0111</v>
      </c>
      <c r="B427" s="5">
        <v>45554</v>
      </c>
      <c r="C427" s="4" t="str">
        <v>CUST011</v>
      </c>
      <c r="D427" s="4" t="str">
        <v>William White</v>
      </c>
      <c r="E427" s="4" t="str">
        <v>P003</v>
      </c>
      <c r="F427" s="4" t="str">
        <v>Headphones</v>
      </c>
      <c r="G427" s="4" t="str">
        <v>Electronics</v>
      </c>
      <c r="H427" s="4">
        <v>1</v>
      </c>
      <c r="I427" s="6">
        <v>149.99</v>
      </c>
      <c r="J427" s="4" t="str">
        <v>PayPal</v>
      </c>
      <c r="K427" s="4" t="str">
        <v>East</v>
      </c>
      <c r="L427" s="4" t="str">
        <v>Standard</v>
      </c>
      <c r="M427" s="5">
        <v>44482</v>
      </c>
      <c r="N427" s="6">
        <v>149.99</v>
      </c>
    </row>
    <row r="428" spans="1:14">
      <c r="A428" s="4" t="str">
        <v>TRX0123</v>
      </c>
      <c r="B428" s="5">
        <v>45554</v>
      </c>
      <c r="C428" s="4" t="str">
        <v>CUST041</v>
      </c>
      <c r="D428" s="4" t="str">
        <v>Peter Richardson</v>
      </c>
      <c r="E428" s="4" t="str">
        <v>P002</v>
      </c>
      <c r="F428" s="4" t="str">
        <v>Smartphone</v>
      </c>
      <c r="G428" s="4" t="str">
        <v>Electronics</v>
      </c>
      <c r="H428" s="4">
        <v>4</v>
      </c>
      <c r="I428" s="6">
        <v>699.99</v>
      </c>
      <c r="J428" s="4" t="str">
        <v>PayPal</v>
      </c>
      <c r="K428" s="4" t="str">
        <v>South</v>
      </c>
      <c r="L428" s="4" t="str">
        <v>Basic</v>
      </c>
      <c r="M428" s="5">
        <v>44618</v>
      </c>
      <c r="N428" s="6">
        <v>2799.96</v>
      </c>
    </row>
    <row r="429" spans="1:14">
      <c r="A429" s="4" t="str">
        <v>TRX0177</v>
      </c>
      <c r="B429" s="5">
        <v>45559</v>
      </c>
      <c r="C429" s="4" t="str">
        <v>CUST032</v>
      </c>
      <c r="D429" s="4" t="str">
        <v>Sandra Phillips</v>
      </c>
      <c r="E429" s="4" t="str">
        <v>P001</v>
      </c>
      <c r="F429" s="4" t="str">
        <v>Laptop</v>
      </c>
      <c r="G429" s="4" t="str">
        <v>Electronics</v>
      </c>
      <c r="H429" s="4">
        <v>3</v>
      </c>
      <c r="I429" s="6">
        <v>899.99</v>
      </c>
      <c r="J429" s="4" t="str">
        <v>Credit Card</v>
      </c>
      <c r="K429" s="4" t="str">
        <v>North</v>
      </c>
      <c r="L429" s="4" t="str">
        <v>Standard</v>
      </c>
      <c r="M429" s="5">
        <v>45157</v>
      </c>
      <c r="N429" s="6">
        <v>2699.97</v>
      </c>
    </row>
    <row r="430" spans="1:14">
      <c r="A430" s="4" t="str">
        <v>TRX0119</v>
      </c>
      <c r="B430" s="5">
        <v>45560</v>
      </c>
      <c r="C430" s="4" t="str">
        <v>CUST014</v>
      </c>
      <c r="D430" s="4" t="str">
        <v>Linda Martin</v>
      </c>
      <c r="E430" s="4" t="str">
        <v>P008</v>
      </c>
      <c r="F430" s="4" t="str">
        <v>Bookshelf</v>
      </c>
      <c r="G430" s="4" t="str">
        <v>Furniture</v>
      </c>
      <c r="H430" s="4">
        <v>3</v>
      </c>
      <c r="I430" s="6">
        <v>149.99</v>
      </c>
      <c r="J430" s="4" t="str">
        <v>PayPal</v>
      </c>
      <c r="K430" s="4" t="str">
        <v>East</v>
      </c>
      <c r="L430" s="4" t="str">
        <v>Basic</v>
      </c>
      <c r="M430" s="5">
        <v>44886</v>
      </c>
      <c r="N430" s="6">
        <v>449.97</v>
      </c>
    </row>
    <row r="431" spans="1:14">
      <c r="A431" s="4" t="str">
        <v>TRX0181</v>
      </c>
      <c r="B431" s="5">
        <v>45563</v>
      </c>
      <c r="C431" s="4" t="str">
        <v>CUST012</v>
      </c>
      <c r="D431" s="4" t="str">
        <v>Patricia Moore</v>
      </c>
      <c r="E431" s="4" t="str">
        <v>P007</v>
      </c>
      <c r="F431" s="4" t="str">
        <v>Desk</v>
      </c>
      <c r="G431" s="4" t="str">
        <v>Furniture</v>
      </c>
      <c r="H431" s="4">
        <v>2</v>
      </c>
      <c r="I431" s="6">
        <v>299.99</v>
      </c>
      <c r="J431" s="4" t="str">
        <v>Debit Card</v>
      </c>
      <c r="K431" s="4" t="str">
        <v>Central</v>
      </c>
      <c r="L431" s="4" t="str">
        <v>Basic</v>
      </c>
      <c r="M431" s="5">
        <v>44569</v>
      </c>
      <c r="N431" s="6">
        <v>599.98</v>
      </c>
    </row>
    <row r="432" spans="1:14">
      <c r="A432" s="4" t="str">
        <v>TRX0129</v>
      </c>
      <c r="B432" s="5">
        <v>45564</v>
      </c>
      <c r="C432" s="4" t="str">
        <v>CUST015</v>
      </c>
      <c r="D432" s="4" t="str">
        <v>Richard Lee</v>
      </c>
      <c r="E432" s="4" t="str">
        <v>P006</v>
      </c>
      <c r="F432" s="4" t="str">
        <v>Office Chair</v>
      </c>
      <c r="G432" s="4" t="str">
        <v>Furniture</v>
      </c>
      <c r="H432" s="4">
        <v>1</v>
      </c>
      <c r="I432" s="6">
        <v>199.99</v>
      </c>
      <c r="J432" s="4" t="str">
        <v>Debit Card</v>
      </c>
      <c r="K432" s="4" t="str">
        <v>East</v>
      </c>
      <c r="L432" s="4" t="str">
        <v>Standard</v>
      </c>
      <c r="M432" s="5">
        <v>44953</v>
      </c>
      <c r="N432" s="6">
        <v>199.99</v>
      </c>
    </row>
    <row r="433" spans="1:14">
      <c r="A433" s="4" t="str">
        <v>TRX0174</v>
      </c>
      <c r="B433" s="5">
        <v>45566</v>
      </c>
      <c r="C433" s="4" t="str">
        <v>CUST003</v>
      </c>
      <c r="D433" s="4" t="str">
        <v>Michael Brown</v>
      </c>
      <c r="E433" s="4" t="str">
        <v>P007</v>
      </c>
      <c r="F433" s="4" t="str">
        <v>Desk</v>
      </c>
      <c r="G433" s="4" t="str">
        <v>Furniture</v>
      </c>
      <c r="H433" s="4">
        <v>4</v>
      </c>
      <c r="I433" s="6">
        <v>299.99</v>
      </c>
      <c r="J433" s="4" t="str">
        <v>Cash</v>
      </c>
      <c r="K433" s="4" t="str">
        <v>Central</v>
      </c>
      <c r="L433" s="4" t="str">
        <v>Premium</v>
      </c>
      <c r="M433" s="5">
        <v>44460</v>
      </c>
      <c r="N433" s="6">
        <v>1199.96</v>
      </c>
    </row>
    <row r="434" spans="1:14">
      <c r="A434" s="4" t="str">
        <v>TRX0146</v>
      </c>
      <c r="B434" s="5">
        <v>45572</v>
      </c>
      <c r="C434" s="4" t="str">
        <v>CUST010</v>
      </c>
      <c r="D434" s="4" t="str">
        <v>Maria Garcia</v>
      </c>
      <c r="E434" s="4" t="str">
        <v>P005</v>
      </c>
      <c r="F434" s="4" t="str">
        <v>Blender</v>
      </c>
      <c r="G434" s="4" t="str">
        <v>Appliances</v>
      </c>
      <c r="H434" s="4">
        <v>2</v>
      </c>
      <c r="I434" s="6">
        <v>59.99</v>
      </c>
      <c r="J434" s="4" t="str">
        <v>Credit Card</v>
      </c>
      <c r="K434" s="4" t="str">
        <v>Central</v>
      </c>
      <c r="L434" s="4" t="str">
        <v>Basic</v>
      </c>
      <c r="M434" s="5">
        <v>44579</v>
      </c>
      <c r="N434" s="6">
        <v>119.98</v>
      </c>
    </row>
    <row r="435" spans="1:14">
      <c r="A435" s="4" t="str">
        <v>TRX0203</v>
      </c>
      <c r="B435" s="5">
        <v>45572</v>
      </c>
      <c r="C435" s="4" t="str">
        <v>CUST032</v>
      </c>
      <c r="D435" s="4" t="str">
        <v>Sandra Phillips</v>
      </c>
      <c r="E435" s="4" t="str">
        <v>P003</v>
      </c>
      <c r="F435" s="4" t="str">
        <v>Headphones</v>
      </c>
      <c r="G435" s="4" t="str">
        <v>Electronics</v>
      </c>
      <c r="H435" s="4">
        <v>4</v>
      </c>
      <c r="I435" s="6">
        <v>149.99</v>
      </c>
      <c r="J435" s="4" t="str">
        <v>Credit Card</v>
      </c>
      <c r="K435" s="4" t="str">
        <v>North</v>
      </c>
      <c r="L435" s="4" t="str">
        <v>Premium</v>
      </c>
      <c r="M435" s="5">
        <v>45076</v>
      </c>
      <c r="N435" s="6">
        <v>599.96</v>
      </c>
    </row>
    <row r="436" spans="1:14">
      <c r="A436" s="4" t="str">
        <v>TRX0055</v>
      </c>
      <c r="B436" s="5">
        <v>45573</v>
      </c>
      <c r="C436" s="4" t="str">
        <v>CUST016</v>
      </c>
      <c r="D436" s="4" t="str">
        <v>Elizabeth Hall</v>
      </c>
      <c r="E436" s="4" t="str">
        <v>P002</v>
      </c>
      <c r="F436" s="4" t="str">
        <v>Smartphone</v>
      </c>
      <c r="G436" s="4" t="str">
        <v>Electronics</v>
      </c>
      <c r="H436" s="4">
        <v>2</v>
      </c>
      <c r="I436" s="6">
        <v>699.99</v>
      </c>
      <c r="J436" s="4" t="str">
        <v>Debit Card</v>
      </c>
      <c r="K436" s="4" t="str">
        <v>East</v>
      </c>
      <c r="L436" s="4" t="str">
        <v>Premium</v>
      </c>
      <c r="M436" s="5">
        <v>45274</v>
      </c>
      <c r="N436" s="6">
        <v>1399.98</v>
      </c>
    </row>
    <row r="437" spans="1:14">
      <c r="A437" s="4" t="str">
        <v>TRX0218</v>
      </c>
      <c r="B437" s="5">
        <v>45573</v>
      </c>
      <c r="C437" s="4" t="str">
        <v>CUST034</v>
      </c>
      <c r="D437" s="4" t="str">
        <v>Carol Evans</v>
      </c>
      <c r="E437" s="4" t="str">
        <v>P008</v>
      </c>
      <c r="F437" s="4" t="str">
        <v>Bookshelf</v>
      </c>
      <c r="G437" s="4" t="str">
        <v>Furniture</v>
      </c>
      <c r="H437" s="4">
        <v>3</v>
      </c>
      <c r="I437" s="6">
        <v>149.99</v>
      </c>
      <c r="J437" s="4" t="str">
        <v>Credit Card</v>
      </c>
      <c r="K437" s="4" t="str">
        <v>South</v>
      </c>
      <c r="L437" s="4" t="str">
        <v>Standard</v>
      </c>
      <c r="M437" s="5">
        <v>44940</v>
      </c>
      <c r="N437" s="6">
        <v>449.97</v>
      </c>
    </row>
    <row r="438" spans="1:14">
      <c r="A438" s="4" t="str">
        <v>TRX0085</v>
      </c>
      <c r="B438" s="5">
        <v>45576</v>
      </c>
      <c r="C438" s="4" t="str">
        <v>CUST019</v>
      </c>
      <c r="D438" s="4" t="str">
        <v>Daniel King</v>
      </c>
      <c r="E438" s="4" t="str">
        <v>P007</v>
      </c>
      <c r="F438" s="4" t="str">
        <v>Desk</v>
      </c>
      <c r="G438" s="4" t="str">
        <v>Furniture</v>
      </c>
      <c r="H438" s="4">
        <v>3</v>
      </c>
      <c r="I438" s="6">
        <v>299.99</v>
      </c>
      <c r="J438" s="4" t="str">
        <v>Credit Card</v>
      </c>
      <c r="K438" s="4" t="str">
        <v>Central</v>
      </c>
      <c r="L438" s="4" t="str">
        <v>Standard</v>
      </c>
      <c r="M438" s="5">
        <v>45174</v>
      </c>
      <c r="N438" s="6">
        <v>899.97</v>
      </c>
    </row>
    <row r="439" spans="1:14">
      <c r="A439" s="4" t="str">
        <v>TRX0158</v>
      </c>
      <c r="B439" s="5">
        <v>45579</v>
      </c>
      <c r="C439" s="4" t="str">
        <v>CUST027</v>
      </c>
      <c r="D439" s="4" t="str">
        <v>George Adams</v>
      </c>
      <c r="E439" s="4" t="str">
        <v>P001</v>
      </c>
      <c r="F439" s="4" t="str">
        <v>Laptop</v>
      </c>
      <c r="G439" s="4" t="str">
        <v>Electronics</v>
      </c>
      <c r="H439" s="4">
        <v>3</v>
      </c>
      <c r="I439" s="6">
        <v>899.99</v>
      </c>
      <c r="J439" s="4" t="str">
        <v>PayPal</v>
      </c>
      <c r="K439" s="4" t="str">
        <v>West</v>
      </c>
      <c r="L439" s="4" t="str">
        <v>Basic</v>
      </c>
      <c r="M439" s="5">
        <v>45215</v>
      </c>
      <c r="N439" s="6">
        <v>2699.97</v>
      </c>
    </row>
    <row r="440" spans="1:14">
      <c r="A440" s="4" t="str">
        <v>TRX0173</v>
      </c>
      <c r="B440" s="5">
        <v>45581</v>
      </c>
      <c r="C440" s="4" t="str">
        <v>CUST018</v>
      </c>
      <c r="D440" s="4" t="str">
        <v>Barbara Young</v>
      </c>
      <c r="E440" s="4" t="str">
        <v>P002</v>
      </c>
      <c r="F440" s="4" t="str">
        <v>Smartphone</v>
      </c>
      <c r="G440" s="4" t="str">
        <v>Electronics</v>
      </c>
      <c r="H440" s="4">
        <v>5</v>
      </c>
      <c r="I440" s="6">
        <v>699.99</v>
      </c>
      <c r="J440" s="4" t="str">
        <v>Cash</v>
      </c>
      <c r="K440" s="4" t="str">
        <v>East</v>
      </c>
      <c r="L440" s="4" t="str">
        <v>Standard</v>
      </c>
      <c r="M440" s="5">
        <v>45008</v>
      </c>
      <c r="N440" s="6">
        <v>3499.95</v>
      </c>
    </row>
    <row r="441" spans="1:14">
      <c r="A441" s="4" t="str">
        <v>TRX0034</v>
      </c>
      <c r="B441" s="5">
        <v>45581</v>
      </c>
      <c r="C441" s="4" t="str">
        <v>CUST049</v>
      </c>
      <c r="D441" s="4" t="str">
        <v>Raymond Ross</v>
      </c>
      <c r="E441" s="4" t="str">
        <v>P002</v>
      </c>
      <c r="F441" s="4" t="str">
        <v>Smartphone</v>
      </c>
      <c r="G441" s="4" t="str">
        <v>Electronics</v>
      </c>
      <c r="H441" s="4">
        <v>4</v>
      </c>
      <c r="I441" s="6">
        <v>699.99</v>
      </c>
      <c r="J441" s="4" t="str">
        <v>Credit Card</v>
      </c>
      <c r="K441" s="4" t="str">
        <v>Central</v>
      </c>
      <c r="L441" s="4" t="str">
        <v>Basic</v>
      </c>
      <c r="M441" s="5">
        <v>45385</v>
      </c>
      <c r="N441" s="6">
        <v>2799.96</v>
      </c>
    </row>
    <row r="442" spans="1:14">
      <c r="A442" s="4" t="str">
        <v>TRX0189</v>
      </c>
      <c r="B442" s="5">
        <v>45581</v>
      </c>
      <c r="C442" s="4" t="str">
        <v>CUST040</v>
      </c>
      <c r="D442" s="4" t="str">
        <v>Sharon Butler</v>
      </c>
      <c r="E442" s="4" t="str">
        <v>P001</v>
      </c>
      <c r="F442" s="4" t="str">
        <v>Laptop</v>
      </c>
      <c r="G442" s="4" t="str">
        <v>Electronics</v>
      </c>
      <c r="H442" s="4">
        <v>1</v>
      </c>
      <c r="I442" s="6">
        <v>899.99</v>
      </c>
      <c r="J442" s="4" t="str">
        <v>Credit Card</v>
      </c>
      <c r="K442" s="4" t="str">
        <v>East</v>
      </c>
      <c r="L442" s="4" t="str">
        <v>Standard</v>
      </c>
      <c r="M442" s="5">
        <v>45369</v>
      </c>
      <c r="N442" s="6">
        <v>899.99</v>
      </c>
    </row>
    <row r="443" spans="1:14">
      <c r="A443" s="4" t="str">
        <v>TRX0190</v>
      </c>
      <c r="B443" s="5">
        <v>45583</v>
      </c>
      <c r="C443" s="4" t="str">
        <v>CUST039</v>
      </c>
      <c r="D443" s="4" t="str">
        <v>Lawrence Reed</v>
      </c>
      <c r="E443" s="4" t="str">
        <v>P003</v>
      </c>
      <c r="F443" s="4" t="str">
        <v>Headphones</v>
      </c>
      <c r="G443" s="4" t="str">
        <v>Electronics</v>
      </c>
      <c r="H443" s="4">
        <v>2</v>
      </c>
      <c r="I443" s="6">
        <v>149.99</v>
      </c>
      <c r="J443" s="4" t="str">
        <v>Credit Card</v>
      </c>
      <c r="K443" s="4" t="str">
        <v>West</v>
      </c>
      <c r="L443" s="4" t="str">
        <v>Basic</v>
      </c>
      <c r="M443" s="5">
        <v>44916</v>
      </c>
      <c r="N443" s="6">
        <v>299.98</v>
      </c>
    </row>
    <row r="444" spans="1:14">
      <c r="A444" s="4" t="str">
        <v>TRX0079</v>
      </c>
      <c r="B444" s="5">
        <v>45586</v>
      </c>
      <c r="C444" s="4" t="str">
        <v>CUST039</v>
      </c>
      <c r="D444" s="4" t="str">
        <v>Lawrence Reed</v>
      </c>
      <c r="E444" s="4" t="str">
        <v>P010</v>
      </c>
      <c r="F444" s="4" t="str">
        <v>Keyboard</v>
      </c>
      <c r="G444" s="4" t="str">
        <v>Electronics</v>
      </c>
      <c r="H444" s="4">
        <v>3</v>
      </c>
      <c r="I444" s="6">
        <v>89.99</v>
      </c>
      <c r="J444" s="4" t="str">
        <v>PayPal</v>
      </c>
      <c r="K444" s="4" t="str">
        <v>Central</v>
      </c>
      <c r="L444" s="4" t="str">
        <v>Basic</v>
      </c>
      <c r="M444" s="5">
        <v>44551</v>
      </c>
      <c r="N444" s="6">
        <v>269.97000000000003</v>
      </c>
    </row>
    <row r="445" spans="1:14">
      <c r="A445" s="4" t="str">
        <v>TRX0095</v>
      </c>
      <c r="B445" s="5">
        <v>45588</v>
      </c>
      <c r="C445" s="4" t="str">
        <v>CUST046</v>
      </c>
      <c r="D445" s="4" t="str">
        <v>Kathleen Bennett</v>
      </c>
      <c r="E445" s="4" t="str">
        <v>P003</v>
      </c>
      <c r="F445" s="4" t="str">
        <v>Headphones</v>
      </c>
      <c r="G445" s="4" t="str">
        <v>Electronics</v>
      </c>
      <c r="H445" s="4">
        <v>2</v>
      </c>
      <c r="I445" s="6">
        <v>149.99</v>
      </c>
      <c r="J445" s="4" t="str">
        <v>PayPal</v>
      </c>
      <c r="K445" s="4" t="str">
        <v>Central</v>
      </c>
      <c r="L445" s="4" t="str">
        <v>Basic</v>
      </c>
      <c r="M445" s="5">
        <v>44473</v>
      </c>
      <c r="N445" s="6">
        <v>299.98</v>
      </c>
    </row>
    <row r="446" spans="1:14">
      <c r="A446" s="4" t="str">
        <v>TRX0009</v>
      </c>
      <c r="B446" s="5">
        <v>45588</v>
      </c>
      <c r="C446" s="4" t="str">
        <v>CUST004</v>
      </c>
      <c r="D446" s="4" t="str">
        <v>Sarah Davis</v>
      </c>
      <c r="E446" s="4" t="str">
        <v>P002</v>
      </c>
      <c r="F446" s="4" t="str">
        <v>Smartphone</v>
      </c>
      <c r="G446" s="4" t="str">
        <v>Electronics</v>
      </c>
      <c r="H446" s="4">
        <v>2</v>
      </c>
      <c r="I446" s="6">
        <v>699.99</v>
      </c>
      <c r="J446" s="4" t="str">
        <v>Cash</v>
      </c>
      <c r="K446" s="4" t="str">
        <v>Central</v>
      </c>
      <c r="L446" s="4" t="str">
        <v>Basic</v>
      </c>
      <c r="M446" s="5">
        <v>44992</v>
      </c>
      <c r="N446" s="6">
        <v>1399.98</v>
      </c>
    </row>
    <row r="447" spans="1:14">
      <c r="A447" s="4" t="str">
        <v>TRX0167</v>
      </c>
      <c r="B447" s="5">
        <v>45589</v>
      </c>
      <c r="C447" s="4" t="str">
        <v>CUST028</v>
      </c>
      <c r="D447" s="4" t="str">
        <v>Betty Campbell</v>
      </c>
      <c r="E447" s="4" t="str">
        <v>P002</v>
      </c>
      <c r="F447" s="4" t="str">
        <v>Smartphone</v>
      </c>
      <c r="G447" s="4" t="str">
        <v>Electronics</v>
      </c>
      <c r="H447" s="4">
        <v>5</v>
      </c>
      <c r="I447" s="6">
        <v>699.99</v>
      </c>
      <c r="J447" s="4" t="str">
        <v>Cash</v>
      </c>
      <c r="K447" s="4" t="str">
        <v>North</v>
      </c>
      <c r="L447" s="4" t="str">
        <v>Premium</v>
      </c>
      <c r="M447" s="5">
        <v>44635</v>
      </c>
      <c r="N447" s="6">
        <v>3499.95</v>
      </c>
    </row>
    <row r="448" spans="1:14">
      <c r="A448" s="4" t="str">
        <v>TRX0153</v>
      </c>
      <c r="B448" s="5">
        <v>45592</v>
      </c>
      <c r="C448" s="4" t="str">
        <v>CUST049</v>
      </c>
      <c r="D448" s="4" t="str">
        <v>Raymond Ross</v>
      </c>
      <c r="E448" s="4" t="str">
        <v>P010</v>
      </c>
      <c r="F448" s="4" t="str">
        <v>Keyboard</v>
      </c>
      <c r="G448" s="4" t="str">
        <v>Electronics</v>
      </c>
      <c r="H448" s="4">
        <v>3</v>
      </c>
      <c r="I448" s="6">
        <v>89.99</v>
      </c>
      <c r="J448" s="4" t="str">
        <v>Credit Card</v>
      </c>
      <c r="K448" s="4" t="str">
        <v>North</v>
      </c>
      <c r="L448" s="4" t="str">
        <v>Standard</v>
      </c>
      <c r="M448" s="5">
        <v>44615</v>
      </c>
      <c r="N448" s="6">
        <v>269.97000000000003</v>
      </c>
    </row>
    <row r="449" spans="1:14">
      <c r="A449" s="4" t="str">
        <v>TRX0057</v>
      </c>
      <c r="B449" s="5">
        <v>45597</v>
      </c>
      <c r="C449" s="4" t="str">
        <v>CUST023</v>
      </c>
      <c r="D449" s="4" t="str">
        <v>Paul Baker</v>
      </c>
      <c r="E449" s="4" t="str">
        <v>P009</v>
      </c>
      <c r="F449" s="4" t="str">
        <v>Monitor</v>
      </c>
      <c r="G449" s="4" t="str">
        <v>Electronics</v>
      </c>
      <c r="H449" s="4">
        <v>5</v>
      </c>
      <c r="I449" s="6">
        <v>249.99</v>
      </c>
      <c r="J449" s="4" t="str">
        <v>Credit Card</v>
      </c>
      <c r="K449" s="4" t="str">
        <v>South</v>
      </c>
      <c r="L449" s="4" t="str">
        <v>Standard</v>
      </c>
      <c r="M449" s="5">
        <v>44881</v>
      </c>
      <c r="N449" s="6">
        <v>1249.95</v>
      </c>
    </row>
    <row r="450" spans="1:14">
      <c r="A450" s="4" t="str">
        <v>TRX0017</v>
      </c>
      <c r="B450" s="5">
        <v>45600</v>
      </c>
      <c r="C450" s="4" t="str">
        <v>CUST026</v>
      </c>
      <c r="D450" s="4" t="str">
        <v>Karen Hill</v>
      </c>
      <c r="E450" s="4" t="str">
        <v>P007</v>
      </c>
      <c r="F450" s="4" t="str">
        <v>Desk</v>
      </c>
      <c r="G450" s="4" t="str">
        <v>Furniture</v>
      </c>
      <c r="H450" s="4">
        <v>3</v>
      </c>
      <c r="I450" s="6">
        <v>299.99</v>
      </c>
      <c r="J450" s="4" t="str">
        <v>Credit Card</v>
      </c>
      <c r="K450" s="4" t="str">
        <v>South</v>
      </c>
      <c r="L450" s="4" t="str">
        <v>Standard</v>
      </c>
      <c r="M450" s="5">
        <v>44502</v>
      </c>
      <c r="N450" s="6">
        <v>899.97</v>
      </c>
    </row>
    <row r="451" spans="1:14">
      <c r="A451" s="4" t="str">
        <v>TRX0060</v>
      </c>
      <c r="B451" s="5">
        <v>45603</v>
      </c>
      <c r="C451" s="4" t="str">
        <v>CUST012</v>
      </c>
      <c r="D451" s="4" t="str">
        <v>Patricia Moore</v>
      </c>
      <c r="E451" s="4" t="str">
        <v>P010</v>
      </c>
      <c r="F451" s="4" t="str">
        <v>Keyboard</v>
      </c>
      <c r="G451" s="4" t="str">
        <v>Electronics</v>
      </c>
      <c r="H451" s="4">
        <v>3</v>
      </c>
      <c r="I451" s="6">
        <v>89.99</v>
      </c>
      <c r="J451" s="4" t="str">
        <v>Credit Card</v>
      </c>
      <c r="K451" s="4" t="str">
        <v>North</v>
      </c>
      <c r="L451" s="4" t="str">
        <v>Premium</v>
      </c>
      <c r="M451" s="5">
        <v>44420</v>
      </c>
      <c r="N451" s="6">
        <v>269.97000000000003</v>
      </c>
    </row>
    <row r="452" spans="1:14">
      <c r="A452" s="4" t="str">
        <v>TRX0109</v>
      </c>
      <c r="B452" s="5">
        <v>45604</v>
      </c>
      <c r="C452" s="4" t="str">
        <v>CUST010</v>
      </c>
      <c r="D452" s="4" t="str">
        <v>Maria Garcia</v>
      </c>
      <c r="E452" s="4" t="str">
        <v>P008</v>
      </c>
      <c r="F452" s="4" t="str">
        <v>Bookshelf</v>
      </c>
      <c r="G452" s="4" t="str">
        <v>Furniture</v>
      </c>
      <c r="H452" s="4">
        <v>2</v>
      </c>
      <c r="I452" s="6">
        <v>149.99</v>
      </c>
      <c r="J452" s="4" t="str">
        <v>Credit Card</v>
      </c>
      <c r="K452" s="4" t="str">
        <v>West</v>
      </c>
      <c r="L452" s="4" t="str">
        <v>Premium</v>
      </c>
      <c r="M452" s="5">
        <v>44848</v>
      </c>
      <c r="N452" s="6">
        <v>299.98</v>
      </c>
    </row>
    <row r="453" spans="1:14">
      <c r="A453" s="4" t="str">
        <v>TRX0090</v>
      </c>
      <c r="B453" s="5">
        <v>45605</v>
      </c>
      <c r="C453" s="4" t="str">
        <v>CUST020</v>
      </c>
      <c r="D453" s="4" t="str">
        <v>Margaret Wright</v>
      </c>
      <c r="E453" s="4" t="str">
        <v>P009</v>
      </c>
      <c r="F453" s="4" t="str">
        <v>Monitor</v>
      </c>
      <c r="G453" s="4" t="str">
        <v>Electronics</v>
      </c>
      <c r="H453" s="4">
        <v>1</v>
      </c>
      <c r="I453" s="6">
        <v>249.99</v>
      </c>
      <c r="J453" s="4" t="str">
        <v>Credit Card</v>
      </c>
      <c r="K453" s="4" t="str">
        <v>North</v>
      </c>
      <c r="L453" s="4" t="str">
        <v>Premium</v>
      </c>
      <c r="M453" s="5">
        <v>44828</v>
      </c>
      <c r="N453" s="6">
        <v>249.99</v>
      </c>
    </row>
    <row r="454" spans="1:14">
      <c r="A454" s="4" t="str">
        <v>TRX0035</v>
      </c>
      <c r="B454" s="5">
        <v>45607</v>
      </c>
      <c r="C454" s="4" t="str">
        <v>CUST041</v>
      </c>
      <c r="D454" s="4" t="str">
        <v>Peter Richardson</v>
      </c>
      <c r="E454" s="4" t="str">
        <v>P003</v>
      </c>
      <c r="F454" s="4" t="str">
        <v>Headphones</v>
      </c>
      <c r="G454" s="4" t="str">
        <v>Electronics</v>
      </c>
      <c r="H454" s="4">
        <v>3</v>
      </c>
      <c r="I454" s="6">
        <v>149.99</v>
      </c>
      <c r="J454" s="4" t="str">
        <v>Cash</v>
      </c>
      <c r="K454" s="4" t="str">
        <v>North</v>
      </c>
      <c r="L454" s="4" t="str">
        <v>Basic</v>
      </c>
      <c r="M454" s="5">
        <v>44769</v>
      </c>
      <c r="N454" s="6">
        <v>449.97</v>
      </c>
    </row>
    <row r="455" spans="1:14">
      <c r="A455" s="4" t="str">
        <v>TRX0172</v>
      </c>
      <c r="B455" s="5">
        <v>45607</v>
      </c>
      <c r="C455" s="4" t="str">
        <v>CUST023</v>
      </c>
      <c r="D455" s="4" t="str">
        <v>Paul Baker</v>
      </c>
      <c r="E455" s="4" t="str">
        <v>P005</v>
      </c>
      <c r="F455" s="4" t="str">
        <v>Blender</v>
      </c>
      <c r="G455" s="4" t="str">
        <v>Appliances</v>
      </c>
      <c r="H455" s="4">
        <v>5</v>
      </c>
      <c r="I455" s="6">
        <v>59.99</v>
      </c>
      <c r="J455" s="4" t="str">
        <v>PayPal</v>
      </c>
      <c r="K455" s="4" t="str">
        <v>West</v>
      </c>
      <c r="L455" s="4" t="str">
        <v>Premium</v>
      </c>
      <c r="M455" s="5">
        <v>44694</v>
      </c>
      <c r="N455" s="6">
        <v>299.95</v>
      </c>
    </row>
    <row r="456" spans="1:14">
      <c r="A456" s="4" t="str">
        <v>TRX0076</v>
      </c>
      <c r="B456" s="5">
        <v>45607</v>
      </c>
      <c r="C456" s="4" t="str">
        <v>CUST012</v>
      </c>
      <c r="D456" s="4" t="str">
        <v>Patricia Moore</v>
      </c>
      <c r="E456" s="4" t="str">
        <v>P009</v>
      </c>
      <c r="F456" s="4" t="str">
        <v>Monitor</v>
      </c>
      <c r="G456" s="4" t="str">
        <v>Electronics</v>
      </c>
      <c r="H456" s="4">
        <v>4</v>
      </c>
      <c r="I456" s="6">
        <v>249.99</v>
      </c>
      <c r="J456" s="4" t="str">
        <v>Credit Card</v>
      </c>
      <c r="K456" s="4" t="str">
        <v>West</v>
      </c>
      <c r="L456" s="4" t="str">
        <v>Standard</v>
      </c>
      <c r="M456" s="5">
        <v>44659</v>
      </c>
      <c r="N456" s="6">
        <v>999.96</v>
      </c>
    </row>
    <row r="457" spans="1:14">
      <c r="A457" s="4" t="str">
        <v>TRX0210</v>
      </c>
      <c r="B457" s="5">
        <v>45608</v>
      </c>
      <c r="C457" s="4" t="str">
        <v>CUST004</v>
      </c>
      <c r="D457" s="4" t="str">
        <v>Sarah Davis</v>
      </c>
      <c r="E457" s="4" t="str">
        <v>P008</v>
      </c>
      <c r="F457" s="4" t="str">
        <v>Bookshelf</v>
      </c>
      <c r="G457" s="4" t="str">
        <v>Furniture</v>
      </c>
      <c r="H457" s="4">
        <v>5</v>
      </c>
      <c r="I457" s="6">
        <v>149.99</v>
      </c>
      <c r="J457" s="4" t="str">
        <v>PayPal</v>
      </c>
      <c r="K457" s="4" t="str">
        <v>Central</v>
      </c>
      <c r="L457" s="4" t="str">
        <v>Basic</v>
      </c>
      <c r="M457" s="5">
        <v>44901</v>
      </c>
      <c r="N457" s="6">
        <v>749.95</v>
      </c>
    </row>
    <row r="458" spans="1:14">
      <c r="A458" s="4" t="str">
        <v>TRX0149</v>
      </c>
      <c r="B458" s="5">
        <v>45608</v>
      </c>
      <c r="C458" s="4" t="str">
        <v>CUST027</v>
      </c>
      <c r="D458" s="4" t="str">
        <v>George Adams</v>
      </c>
      <c r="E458" s="4" t="str">
        <v>P005</v>
      </c>
      <c r="F458" s="4" t="str">
        <v>Blender</v>
      </c>
      <c r="G458" s="4" t="str">
        <v>Appliances</v>
      </c>
      <c r="H458" s="4">
        <v>3</v>
      </c>
      <c r="I458" s="6">
        <v>59.99</v>
      </c>
      <c r="J458" s="4" t="str">
        <v>Debit Card</v>
      </c>
      <c r="K458" s="4" t="str">
        <v>South</v>
      </c>
      <c r="L458" s="4" t="str">
        <v>Standard</v>
      </c>
      <c r="M458" s="5">
        <v>45260</v>
      </c>
      <c r="N458" s="6">
        <v>179.97</v>
      </c>
    </row>
    <row r="459" spans="1:14">
      <c r="A459" s="4" t="str">
        <v>TRX0073</v>
      </c>
      <c r="B459" s="5">
        <v>45613</v>
      </c>
      <c r="C459" s="4" t="str">
        <v>CUST032</v>
      </c>
      <c r="D459" s="4" t="str">
        <v>Sandra Phillips</v>
      </c>
      <c r="E459" s="4" t="str">
        <v>P008</v>
      </c>
      <c r="F459" s="4" t="str">
        <v>Bookshelf</v>
      </c>
      <c r="G459" s="4" t="str">
        <v>Furniture</v>
      </c>
      <c r="H459" s="4">
        <v>5</v>
      </c>
      <c r="I459" s="6">
        <v>149.99</v>
      </c>
      <c r="J459" s="4" t="str">
        <v>Cash</v>
      </c>
      <c r="K459" s="4" t="str">
        <v>North</v>
      </c>
      <c r="L459" s="4" t="str">
        <v>Basic</v>
      </c>
      <c r="M459" s="5">
        <v>44869</v>
      </c>
      <c r="N459" s="6">
        <v>749.95</v>
      </c>
    </row>
    <row r="460" spans="1:14">
      <c r="A460" s="4" t="str">
        <v>TRX0033</v>
      </c>
      <c r="B460" s="5">
        <v>45613</v>
      </c>
      <c r="C460" s="4" t="str">
        <v>CUST025</v>
      </c>
      <c r="D460" s="4" t="str">
        <v>Mark Carter</v>
      </c>
      <c r="E460" s="4" t="str">
        <v>P002</v>
      </c>
      <c r="F460" s="4" t="str">
        <v>Smartphone</v>
      </c>
      <c r="G460" s="4" t="str">
        <v>Electronics</v>
      </c>
      <c r="H460" s="4">
        <v>2</v>
      </c>
      <c r="I460" s="6">
        <v>699.99</v>
      </c>
      <c r="J460" s="4" t="str">
        <v>PayPal</v>
      </c>
      <c r="K460" s="4" t="str">
        <v>West</v>
      </c>
      <c r="L460" s="4" t="str">
        <v>Standard</v>
      </c>
      <c r="M460" s="5">
        <v>44770</v>
      </c>
      <c r="N460" s="6">
        <v>1399.98</v>
      </c>
    </row>
    <row r="461" spans="1:14">
      <c r="A461" s="4" t="str">
        <v>TRX0160</v>
      </c>
      <c r="B461" s="5">
        <v>45617</v>
      </c>
      <c r="C461" s="4" t="str">
        <v>CUST029</v>
      </c>
      <c r="D461" s="4" t="str">
        <v>Edward Mitchell</v>
      </c>
      <c r="E461" s="4" t="str">
        <v>P006</v>
      </c>
      <c r="F461" s="4" t="str">
        <v>Office Chair</v>
      </c>
      <c r="G461" s="4" t="str">
        <v>Furniture</v>
      </c>
      <c r="H461" s="4">
        <v>4</v>
      </c>
      <c r="I461" s="6">
        <v>199.99</v>
      </c>
      <c r="J461" s="4" t="str">
        <v>Debit Card</v>
      </c>
      <c r="K461" s="4" t="str">
        <v>Central</v>
      </c>
      <c r="L461" s="4" t="str">
        <v>Premium</v>
      </c>
      <c r="M461" s="5">
        <v>44427</v>
      </c>
      <c r="N461" s="6">
        <v>799.96</v>
      </c>
    </row>
    <row r="462" spans="1:14">
      <c r="A462" s="4" t="str">
        <v>TRX0145</v>
      </c>
      <c r="B462" s="5">
        <v>45619</v>
      </c>
      <c r="C462" s="4" t="str">
        <v>CUST033</v>
      </c>
      <c r="D462" s="4" t="str">
        <v>Frank Torres</v>
      </c>
      <c r="E462" s="4" t="str">
        <v>P005</v>
      </c>
      <c r="F462" s="4" t="str">
        <v>Blender</v>
      </c>
      <c r="G462" s="4" t="str">
        <v>Appliances</v>
      </c>
      <c r="H462" s="4">
        <v>1</v>
      </c>
      <c r="I462" s="6">
        <v>59.99</v>
      </c>
      <c r="J462" s="4" t="str">
        <v>Debit Card</v>
      </c>
      <c r="K462" s="4" t="str">
        <v>West</v>
      </c>
      <c r="L462" s="4" t="str">
        <v>Standard</v>
      </c>
      <c r="M462" s="5">
        <v>44560</v>
      </c>
      <c r="N462" s="6">
        <v>59.99</v>
      </c>
    </row>
    <row r="463" spans="1:14">
      <c r="A463" s="4" t="str">
        <v>TRX0148</v>
      </c>
      <c r="B463" s="5">
        <v>45619</v>
      </c>
      <c r="C463" s="4" t="str">
        <v>CUST004</v>
      </c>
      <c r="D463" s="4" t="str">
        <v>Sarah Davis</v>
      </c>
      <c r="E463" s="4" t="str">
        <v>P002</v>
      </c>
      <c r="F463" s="4" t="str">
        <v>Smartphone</v>
      </c>
      <c r="G463" s="4" t="str">
        <v>Electronics</v>
      </c>
      <c r="H463" s="4">
        <v>3</v>
      </c>
      <c r="I463" s="6">
        <v>699.99</v>
      </c>
      <c r="J463" s="4" t="str">
        <v>PayPal</v>
      </c>
      <c r="K463" s="4" t="str">
        <v>West</v>
      </c>
      <c r="L463" s="4" t="str">
        <v>Standard</v>
      </c>
      <c r="M463" s="5">
        <v>44583</v>
      </c>
      <c r="N463" s="6">
        <v>2099.9699999999998</v>
      </c>
    </row>
    <row r="464" spans="1:14">
      <c r="A464" s="4" t="str">
        <v>TRX0012</v>
      </c>
      <c r="B464" s="5">
        <v>45622</v>
      </c>
      <c r="C464" s="4" t="str">
        <v>CUST045</v>
      </c>
      <c r="D464" s="4" t="str">
        <v>Douglas Watson</v>
      </c>
      <c r="E464" s="4" t="str">
        <v>P009</v>
      </c>
      <c r="F464" s="4" t="str">
        <v>Monitor</v>
      </c>
      <c r="G464" s="4" t="str">
        <v>Electronics</v>
      </c>
      <c r="H464" s="4">
        <v>5</v>
      </c>
      <c r="I464" s="6">
        <v>249.99</v>
      </c>
      <c r="J464" s="4" t="str">
        <v>Credit Card</v>
      </c>
      <c r="K464" s="4" t="str">
        <v>North</v>
      </c>
      <c r="L464" s="4" t="str">
        <v>Basic</v>
      </c>
      <c r="M464" s="5">
        <v>44873</v>
      </c>
      <c r="N464" s="6">
        <v>1249.95</v>
      </c>
    </row>
    <row r="465" spans="1:14">
      <c r="A465" s="4" t="str">
        <v>TRX0206</v>
      </c>
      <c r="B465" s="5">
        <v>45623</v>
      </c>
      <c r="C465" s="4" t="str">
        <v>CUST014</v>
      </c>
      <c r="D465" s="4" t="str">
        <v>Linda Martin</v>
      </c>
      <c r="E465" s="4" t="str">
        <v>P008</v>
      </c>
      <c r="F465" s="4" t="str">
        <v>Bookshelf</v>
      </c>
      <c r="G465" s="4" t="str">
        <v>Furniture</v>
      </c>
      <c r="H465" s="4">
        <v>2</v>
      </c>
      <c r="I465" s="6">
        <v>149.99</v>
      </c>
      <c r="J465" s="4" t="str">
        <v>Cash</v>
      </c>
      <c r="K465" s="4" t="str">
        <v>South</v>
      </c>
      <c r="L465" s="4" t="str">
        <v>Standard</v>
      </c>
      <c r="M465" s="5">
        <v>45101</v>
      </c>
      <c r="N465" s="6">
        <v>299.98</v>
      </c>
    </row>
    <row r="466" spans="1:14">
      <c r="A466" s="4" t="str">
        <v>TRX0045</v>
      </c>
      <c r="B466" s="5">
        <v>45627</v>
      </c>
      <c r="C466" s="4" t="str">
        <v>CUST021</v>
      </c>
      <c r="D466" s="4" t="str">
        <v>Kevin Scott</v>
      </c>
      <c r="E466" s="4" t="str">
        <v>P007</v>
      </c>
      <c r="F466" s="4" t="str">
        <v>Desk</v>
      </c>
      <c r="G466" s="4" t="str">
        <v>Furniture</v>
      </c>
      <c r="H466" s="4">
        <v>3</v>
      </c>
      <c r="I466" s="6">
        <v>299.99</v>
      </c>
      <c r="J466" s="4" t="str">
        <v>Cash</v>
      </c>
      <c r="K466" s="4" t="str">
        <v>South</v>
      </c>
      <c r="L466" s="4" t="str">
        <v>Premium</v>
      </c>
      <c r="M466" s="5">
        <v>44659</v>
      </c>
      <c r="N466" s="6">
        <v>899.97</v>
      </c>
    </row>
    <row r="467" spans="1:14">
      <c r="A467" s="4" t="str">
        <v>TRX0094</v>
      </c>
      <c r="B467" s="5">
        <v>45627</v>
      </c>
      <c r="C467" s="4" t="str">
        <v>CUST017</v>
      </c>
      <c r="D467" s="4" t="str">
        <v>Charles Allen</v>
      </c>
      <c r="E467" s="4" t="str">
        <v>P009</v>
      </c>
      <c r="F467" s="4" t="str">
        <v>Monitor</v>
      </c>
      <c r="G467" s="4" t="str">
        <v>Electronics</v>
      </c>
      <c r="H467" s="4">
        <v>5</v>
      </c>
      <c r="I467" s="6">
        <v>249.99</v>
      </c>
      <c r="J467" s="4" t="str">
        <v>Cash</v>
      </c>
      <c r="K467" s="4" t="str">
        <v>Central</v>
      </c>
      <c r="L467" s="4" t="str">
        <v>Premium</v>
      </c>
      <c r="M467" s="5">
        <v>44485</v>
      </c>
      <c r="N467" s="6">
        <v>1249.95</v>
      </c>
    </row>
    <row r="468" spans="1:14">
      <c r="A468" s="4" t="str">
        <v>TRX0133</v>
      </c>
      <c r="B468" s="5">
        <v>45627</v>
      </c>
      <c r="C468" s="4" t="str">
        <v>CUST013</v>
      </c>
      <c r="D468" s="4" t="str">
        <v>Joseph Jackson</v>
      </c>
      <c r="E468" s="4" t="str">
        <v>P003</v>
      </c>
      <c r="F468" s="4" t="str">
        <v>Headphones</v>
      </c>
      <c r="G468" s="4" t="str">
        <v>Electronics</v>
      </c>
      <c r="H468" s="4">
        <v>2</v>
      </c>
      <c r="I468" s="6">
        <v>149.99</v>
      </c>
      <c r="J468" s="4" t="str">
        <v>Cash</v>
      </c>
      <c r="K468" s="4" t="str">
        <v>South</v>
      </c>
      <c r="L468" s="4" t="str">
        <v>Premium</v>
      </c>
      <c r="M468" s="5">
        <v>44475</v>
      </c>
      <c r="N468" s="6">
        <v>299.98</v>
      </c>
    </row>
    <row r="469" spans="1:14">
      <c r="A469" s="4" t="str">
        <v>TRX0201</v>
      </c>
      <c r="B469" s="5">
        <v>45627</v>
      </c>
      <c r="C469" s="4" t="str">
        <v>CUST025</v>
      </c>
      <c r="D469" s="4" t="str">
        <v>Mark Carter</v>
      </c>
      <c r="E469" s="4" t="str">
        <v>P002</v>
      </c>
      <c r="F469" s="4" t="str">
        <v>Smartphone</v>
      </c>
      <c r="G469" s="4" t="str">
        <v>Electronics</v>
      </c>
      <c r="H469" s="4">
        <v>5</v>
      </c>
      <c r="I469" s="6">
        <v>699.99</v>
      </c>
      <c r="J469" s="4" t="str">
        <v>Debit Card</v>
      </c>
      <c r="K469" s="4" t="str">
        <v>West</v>
      </c>
      <c r="L469" s="4" t="str">
        <v>Standard</v>
      </c>
      <c r="M469" s="5">
        <v>44944</v>
      </c>
      <c r="N469" s="6">
        <v>3499.95</v>
      </c>
    </row>
    <row r="470" spans="1:14">
      <c r="A470" s="4" t="str">
        <v>TRX0137</v>
      </c>
      <c r="B470" s="5">
        <v>45629</v>
      </c>
      <c r="C470" s="4" t="str">
        <v>CUST011</v>
      </c>
      <c r="D470" s="4" t="str">
        <v>William White</v>
      </c>
      <c r="E470" s="4" t="str">
        <v>P009</v>
      </c>
      <c r="F470" s="4" t="str">
        <v>Monitor</v>
      </c>
      <c r="G470" s="4" t="str">
        <v>Electronics</v>
      </c>
      <c r="H470" s="4">
        <v>4</v>
      </c>
      <c r="I470" s="6">
        <v>249.99</v>
      </c>
      <c r="J470" s="4" t="str">
        <v>PayPal</v>
      </c>
      <c r="K470" s="4" t="str">
        <v>East</v>
      </c>
      <c r="L470" s="4" t="str">
        <v>Premium</v>
      </c>
      <c r="M470" s="5">
        <v>45098</v>
      </c>
      <c r="N470" s="6">
        <v>999.96</v>
      </c>
    </row>
    <row r="471" spans="1:14">
      <c r="A471" s="4" t="str">
        <v>TRX0066</v>
      </c>
      <c r="B471" s="5">
        <v>45630</v>
      </c>
      <c r="C471" s="4" t="str">
        <v>CUST024</v>
      </c>
      <c r="D471" s="4" t="str">
        <v>Dorothy Nelson</v>
      </c>
      <c r="E471" s="4" t="str">
        <v>P002</v>
      </c>
      <c r="F471" s="4" t="str">
        <v>Smartphone</v>
      </c>
      <c r="G471" s="4" t="str">
        <v>Electronics</v>
      </c>
      <c r="H471" s="4">
        <v>4</v>
      </c>
      <c r="I471" s="6">
        <v>699.99</v>
      </c>
      <c r="J471" s="4" t="str">
        <v>Credit Card</v>
      </c>
      <c r="K471" s="4" t="str">
        <v>North</v>
      </c>
      <c r="L471" s="4" t="str">
        <v>Premium</v>
      </c>
      <c r="M471" s="5">
        <v>44703</v>
      </c>
      <c r="N471" s="6">
        <v>2799.96</v>
      </c>
    </row>
    <row r="472" spans="1:14">
      <c r="A472" s="4" t="str">
        <v>TRX0180</v>
      </c>
      <c r="B472" s="5">
        <v>45635</v>
      </c>
      <c r="C472" s="4" t="str">
        <v>CUST036</v>
      </c>
      <c r="D472" s="4" t="str">
        <v>Nancy Collins</v>
      </c>
      <c r="E472" s="4" t="str">
        <v>P009</v>
      </c>
      <c r="F472" s="4" t="str">
        <v>Monitor</v>
      </c>
      <c r="G472" s="4" t="str">
        <v>Electronics</v>
      </c>
      <c r="H472" s="4">
        <v>2</v>
      </c>
      <c r="I472" s="6">
        <v>249.99</v>
      </c>
      <c r="J472" s="4" t="str">
        <v>Credit Card</v>
      </c>
      <c r="K472" s="4" t="str">
        <v>Central</v>
      </c>
      <c r="L472" s="4" t="str">
        <v>Premium</v>
      </c>
      <c r="M472" s="5">
        <v>44396</v>
      </c>
      <c r="N472" s="6">
        <v>499.98</v>
      </c>
    </row>
    <row r="473" spans="1:14">
      <c r="A473" s="4" t="str">
        <v>TRX0082</v>
      </c>
      <c r="B473" s="5">
        <v>45635</v>
      </c>
      <c r="C473" s="4" t="str">
        <v>CUST005</v>
      </c>
      <c r="D473" s="4" t="str">
        <v>James Johnson</v>
      </c>
      <c r="E473" s="4" t="str">
        <v>P005</v>
      </c>
      <c r="F473" s="4" t="str">
        <v>Blender</v>
      </c>
      <c r="G473" s="4" t="str">
        <v>Appliances</v>
      </c>
      <c r="H473" s="4">
        <v>3</v>
      </c>
      <c r="I473" s="6">
        <v>59.99</v>
      </c>
      <c r="J473" s="4" t="str">
        <v>Cash</v>
      </c>
      <c r="K473" s="4" t="str">
        <v>Central</v>
      </c>
      <c r="L473" s="4" t="str">
        <v>Premium</v>
      </c>
      <c r="M473" s="5">
        <v>45052</v>
      </c>
      <c r="N473" s="6">
        <v>179.97</v>
      </c>
    </row>
    <row r="474" spans="1:14">
      <c r="A474" s="4" t="str">
        <v>TRX0036</v>
      </c>
      <c r="B474" s="5">
        <v>45635</v>
      </c>
      <c r="C474" s="4" t="str">
        <v>CUST008</v>
      </c>
      <c r="D474" s="4" t="str">
        <v>Jennifer Taylor</v>
      </c>
      <c r="E474" s="4" t="str">
        <v>P004</v>
      </c>
      <c r="F474" s="4" t="str">
        <v>Coffee Maker</v>
      </c>
      <c r="G474" s="4" t="str">
        <v>Appliances</v>
      </c>
      <c r="H474" s="4">
        <v>4</v>
      </c>
      <c r="I474" s="6">
        <v>79.989999999999995</v>
      </c>
      <c r="J474" s="4" t="str">
        <v>Debit Card</v>
      </c>
      <c r="K474" s="4" t="str">
        <v>East</v>
      </c>
      <c r="L474" s="4" t="str">
        <v>Standard</v>
      </c>
      <c r="M474" s="5">
        <v>44921</v>
      </c>
      <c r="N474" s="6">
        <v>319.95999999999998</v>
      </c>
    </row>
    <row r="475" spans="1:14">
      <c r="A475" s="4" t="str">
        <v>TRX0198</v>
      </c>
      <c r="B475" s="5">
        <v>45636</v>
      </c>
      <c r="C475" s="4" t="str">
        <v>CUST030</v>
      </c>
      <c r="D475" s="4" t="str">
        <v>Helen Roberts</v>
      </c>
      <c r="E475" s="4" t="str">
        <v>P004</v>
      </c>
      <c r="F475" s="4" t="str">
        <v>Coffee Maker</v>
      </c>
      <c r="G475" s="4" t="str">
        <v>Appliances</v>
      </c>
      <c r="H475" s="4">
        <v>3</v>
      </c>
      <c r="I475" s="6">
        <v>79.989999999999995</v>
      </c>
      <c r="J475" s="4" t="str">
        <v>Debit Card</v>
      </c>
      <c r="K475" s="4" t="str">
        <v>East</v>
      </c>
      <c r="L475" s="4" t="str">
        <v>Standard</v>
      </c>
      <c r="M475" s="5">
        <v>44779</v>
      </c>
      <c r="N475" s="6">
        <v>239.97</v>
      </c>
    </row>
    <row r="476" spans="1:14">
      <c r="A476" s="4" t="str">
        <v>TRX0032</v>
      </c>
      <c r="B476" s="5">
        <v>45638</v>
      </c>
      <c r="C476" s="4" t="str">
        <v>CUST041</v>
      </c>
      <c r="D476" s="4" t="str">
        <v>Peter Richardson</v>
      </c>
      <c r="E476" s="4" t="str">
        <v>P001</v>
      </c>
      <c r="F476" s="4" t="str">
        <v>Laptop</v>
      </c>
      <c r="G476" s="4" t="str">
        <v>Electronics</v>
      </c>
      <c r="H476" s="4">
        <v>2</v>
      </c>
      <c r="I476" s="6">
        <v>899.99</v>
      </c>
      <c r="J476" s="4" t="str">
        <v>Cash</v>
      </c>
      <c r="K476" s="4" t="str">
        <v>North</v>
      </c>
      <c r="L476" s="4" t="str">
        <v>Basic</v>
      </c>
      <c r="M476" s="5">
        <v>44406</v>
      </c>
      <c r="N476" s="6">
        <v>1799.98</v>
      </c>
    </row>
    <row r="477" spans="1:14">
      <c r="A477" s="4" t="str">
        <v>TRX0081</v>
      </c>
      <c r="B477" s="5">
        <v>45641</v>
      </c>
      <c r="C477" s="4" t="str">
        <v>CUST007</v>
      </c>
      <c r="D477" s="4" t="str">
        <v>David Martinez</v>
      </c>
      <c r="E477" s="4" t="str">
        <v>P008</v>
      </c>
      <c r="F477" s="4" t="str">
        <v>Bookshelf</v>
      </c>
      <c r="G477" s="4" t="str">
        <v>Furniture</v>
      </c>
      <c r="H477" s="4">
        <v>1</v>
      </c>
      <c r="I477" s="6">
        <v>149.99</v>
      </c>
      <c r="J477" s="4" t="str">
        <v>Debit Card</v>
      </c>
      <c r="K477" s="4" t="str">
        <v>East</v>
      </c>
      <c r="L477" s="4" t="str">
        <v>Standard</v>
      </c>
      <c r="M477" s="5">
        <v>45200</v>
      </c>
      <c r="N477" s="6">
        <v>149.99</v>
      </c>
    </row>
    <row r="478" spans="1:14">
      <c r="A478" s="4" t="str">
        <v>TRX0224</v>
      </c>
      <c r="B478" s="5">
        <v>45641</v>
      </c>
      <c r="C478" s="4" t="str">
        <v>CUST031</v>
      </c>
      <c r="D478" s="4" t="str">
        <v>Steven Turner</v>
      </c>
      <c r="E478" s="4" t="str">
        <v>P007</v>
      </c>
      <c r="F478" s="4" t="str">
        <v>Desk</v>
      </c>
      <c r="G478" s="4" t="str">
        <v>Furniture</v>
      </c>
      <c r="H478" s="4">
        <v>2</v>
      </c>
      <c r="I478" s="6">
        <v>299.99</v>
      </c>
      <c r="J478" s="4" t="str">
        <v>Cash</v>
      </c>
      <c r="K478" s="4" t="str">
        <v>East</v>
      </c>
      <c r="L478" s="4" t="str">
        <v>Premium</v>
      </c>
      <c r="M478" s="5">
        <v>44724</v>
      </c>
      <c r="N478" s="6">
        <v>599.98</v>
      </c>
    </row>
    <row r="479" spans="1:14">
      <c r="A479" s="4" t="str">
        <v>TRX0028</v>
      </c>
      <c r="B479" s="5">
        <v>45644</v>
      </c>
      <c r="C479" s="4" t="str">
        <v>CUST002</v>
      </c>
      <c r="D479" s="4" t="str">
        <v>Emma Wilson</v>
      </c>
      <c r="E479" s="4" t="str">
        <v>P005</v>
      </c>
      <c r="F479" s="4" t="str">
        <v>Blender</v>
      </c>
      <c r="G479" s="4" t="str">
        <v>Appliances</v>
      </c>
      <c r="H479" s="4">
        <v>2</v>
      </c>
      <c r="I479" s="6">
        <v>59.99</v>
      </c>
      <c r="J479" s="4" t="str">
        <v>Cash</v>
      </c>
      <c r="K479" s="4" t="str">
        <v>West</v>
      </c>
      <c r="L479" s="4" t="str">
        <v>Basic</v>
      </c>
      <c r="M479" s="5">
        <v>45191</v>
      </c>
      <c r="N479" s="6">
        <v>119.98</v>
      </c>
    </row>
    <row r="480" spans="1:14">
      <c r="A480" s="4" t="str">
        <v>TRX0183</v>
      </c>
      <c r="B480" s="5">
        <v>45645</v>
      </c>
      <c r="C480" s="4" t="str">
        <v>CUST007</v>
      </c>
      <c r="D480" s="4" t="str">
        <v>David Martinez</v>
      </c>
      <c r="E480" s="4" t="str">
        <v>P010</v>
      </c>
      <c r="F480" s="4" t="str">
        <v>Keyboard</v>
      </c>
      <c r="G480" s="4" t="str">
        <v>Electronics</v>
      </c>
      <c r="H480" s="4">
        <v>1</v>
      </c>
      <c r="I480" s="6">
        <v>89.99</v>
      </c>
      <c r="J480" s="4" t="str">
        <v>Debit Card</v>
      </c>
      <c r="K480" s="4" t="str">
        <v>Central</v>
      </c>
      <c r="L480" s="4" t="str">
        <v>Standard</v>
      </c>
      <c r="M480" s="5">
        <v>44760</v>
      </c>
      <c r="N480" s="6">
        <v>89.99</v>
      </c>
    </row>
    <row r="481" spans="1:14">
      <c r="A481" s="4" t="str">
        <v>TRX0163</v>
      </c>
      <c r="B481" s="5">
        <v>45645</v>
      </c>
      <c r="C481" s="4" t="str">
        <v>CUST019</v>
      </c>
      <c r="D481" s="4" t="str">
        <v>Daniel King</v>
      </c>
      <c r="E481" s="4" t="str">
        <v>P001</v>
      </c>
      <c r="F481" s="4" t="str">
        <v>Laptop</v>
      </c>
      <c r="G481" s="4" t="str">
        <v>Electronics</v>
      </c>
      <c r="H481" s="4">
        <v>5</v>
      </c>
      <c r="I481" s="6">
        <v>899.99</v>
      </c>
      <c r="J481" s="4" t="str">
        <v>Debit Card</v>
      </c>
      <c r="K481" s="4" t="str">
        <v>East</v>
      </c>
      <c r="L481" s="4" t="str">
        <v>Standard</v>
      </c>
      <c r="M481" s="5">
        <v>44625</v>
      </c>
      <c r="N481" s="6">
        <v>4499.95</v>
      </c>
    </row>
    <row r="482" spans="1:14">
      <c r="A482" s="4" t="str">
        <v>TRX0046</v>
      </c>
      <c r="B482" s="5">
        <v>45646</v>
      </c>
      <c r="C482" s="4" t="str">
        <v>CUST003</v>
      </c>
      <c r="D482" s="4" t="str">
        <v>Michael Brown</v>
      </c>
      <c r="E482" s="4" t="str">
        <v>P008</v>
      </c>
      <c r="F482" s="4" t="str">
        <v>Bookshelf</v>
      </c>
      <c r="G482" s="4" t="str">
        <v>Furniture</v>
      </c>
      <c r="H482" s="4">
        <v>2</v>
      </c>
      <c r="I482" s="6">
        <v>149.99</v>
      </c>
      <c r="J482" s="4" t="str">
        <v>Cash</v>
      </c>
      <c r="K482" s="4" t="str">
        <v>South</v>
      </c>
      <c r="L482" s="4" t="str">
        <v>Basic</v>
      </c>
      <c r="M482" s="5">
        <v>45239</v>
      </c>
      <c r="N482" s="6">
        <v>299.98</v>
      </c>
    </row>
    <row r="483" spans="1:14">
      <c r="A483" s="4" t="str">
        <v>TRX0164</v>
      </c>
      <c r="B483" s="5">
        <v>45648</v>
      </c>
      <c r="C483" s="4" t="str">
        <v>CUST014</v>
      </c>
      <c r="D483" s="4" t="str">
        <v>Linda Martin</v>
      </c>
      <c r="E483" s="4" t="str">
        <v>P003</v>
      </c>
      <c r="F483" s="4" t="str">
        <v>Headphones</v>
      </c>
      <c r="G483" s="4" t="str">
        <v>Electronics</v>
      </c>
      <c r="H483" s="4">
        <v>2</v>
      </c>
      <c r="I483" s="6">
        <v>149.99</v>
      </c>
      <c r="J483" s="4" t="str">
        <v>Debit Card</v>
      </c>
      <c r="K483" s="4" t="str">
        <v>West</v>
      </c>
      <c r="L483" s="4" t="str">
        <v>Premium</v>
      </c>
      <c r="M483" s="5">
        <v>45280</v>
      </c>
      <c r="N483" s="6">
        <v>299.98</v>
      </c>
    </row>
    <row r="484" spans="1:14">
      <c r="A484" s="4" t="str">
        <v>TRX0008</v>
      </c>
      <c r="B484" s="5">
        <v>45648</v>
      </c>
      <c r="C484" s="4" t="str">
        <v>CUST007</v>
      </c>
      <c r="D484" s="4" t="str">
        <v>David Martinez</v>
      </c>
      <c r="E484" s="4" t="str">
        <v>P008</v>
      </c>
      <c r="F484" s="4" t="str">
        <v>Bookshelf</v>
      </c>
      <c r="G484" s="4" t="str">
        <v>Furniture</v>
      </c>
      <c r="H484" s="4">
        <v>3</v>
      </c>
      <c r="I484" s="6">
        <v>149.99</v>
      </c>
      <c r="J484" s="4" t="str">
        <v>Debit Card</v>
      </c>
      <c r="K484" s="4" t="str">
        <v>North</v>
      </c>
      <c r="L484" s="4" t="str">
        <v>Standard</v>
      </c>
      <c r="M484" s="5">
        <v>44522</v>
      </c>
      <c r="N484" s="6">
        <v>449.97</v>
      </c>
    </row>
    <row r="485" spans="1:14">
      <c r="A485" s="4" t="str">
        <v>TRX0171</v>
      </c>
      <c r="B485" s="5">
        <v>45649</v>
      </c>
      <c r="C485" s="4" t="str">
        <v>CUST021</v>
      </c>
      <c r="D485" s="4" t="str">
        <v>Kevin Scott</v>
      </c>
      <c r="E485" s="4" t="str">
        <v>P007</v>
      </c>
      <c r="F485" s="4" t="str">
        <v>Desk</v>
      </c>
      <c r="G485" s="4" t="str">
        <v>Furniture</v>
      </c>
      <c r="H485" s="4">
        <v>2</v>
      </c>
      <c r="I485" s="6">
        <v>299.99</v>
      </c>
      <c r="J485" s="4" t="str">
        <v>PayPal</v>
      </c>
      <c r="K485" s="4" t="str">
        <v>South</v>
      </c>
      <c r="L485" s="4" t="str">
        <v>Basic</v>
      </c>
      <c r="M485" s="5">
        <v>44721</v>
      </c>
      <c r="N485" s="6">
        <v>599.98</v>
      </c>
    </row>
    <row r="486" spans="1:14">
      <c r="A486" s="4" t="str">
        <v>TRX0143</v>
      </c>
      <c r="B486" s="5">
        <v>45654</v>
      </c>
      <c r="C486" s="4" t="str">
        <v>CUST003</v>
      </c>
      <c r="D486" s="4" t="str">
        <v>Michael Brown</v>
      </c>
      <c r="E486" s="4" t="str">
        <v>P007</v>
      </c>
      <c r="F486" s="4" t="str">
        <v>Desk</v>
      </c>
      <c r="G486" s="4" t="str">
        <v>Furniture</v>
      </c>
      <c r="H486" s="4">
        <v>2</v>
      </c>
      <c r="I486" s="6">
        <v>299.99</v>
      </c>
      <c r="J486" s="4" t="str">
        <v>Cash</v>
      </c>
      <c r="K486" s="4" t="str">
        <v>West</v>
      </c>
      <c r="L486" s="4" t="str">
        <v>Basic</v>
      </c>
      <c r="M486" s="5">
        <v>44771</v>
      </c>
      <c r="N486" s="6">
        <v>599.98</v>
      </c>
    </row>
    <row r="487" spans="1:14">
      <c r="A487" s="4" t="str">
        <v>TRX0165</v>
      </c>
      <c r="B487" s="5">
        <v>45654</v>
      </c>
      <c r="C487" s="4" t="str">
        <v>CUST030</v>
      </c>
      <c r="D487" s="4" t="str">
        <v>Helen Roberts</v>
      </c>
      <c r="E487" s="4" t="str">
        <v>P006</v>
      </c>
      <c r="F487" s="4" t="str">
        <v>Office Chair</v>
      </c>
      <c r="G487" s="4" t="str">
        <v>Furniture</v>
      </c>
      <c r="H487" s="4">
        <v>4</v>
      </c>
      <c r="I487" s="6">
        <v>199.99</v>
      </c>
      <c r="J487" s="4" t="str">
        <v>Credit Card</v>
      </c>
      <c r="K487" s="4" t="str">
        <v>Central</v>
      </c>
      <c r="L487" s="4" t="str">
        <v>Basic</v>
      </c>
      <c r="M487" s="5">
        <v>44523</v>
      </c>
      <c r="N487" s="6">
        <v>799.96</v>
      </c>
    </row>
    <row r="488" spans="1:14">
      <c r="A488" s="4" t="str">
        <v>TRX0156</v>
      </c>
      <c r="B488" s="5">
        <v>45655</v>
      </c>
      <c r="C488" s="4" t="str">
        <v>CUST009</v>
      </c>
      <c r="D488" s="4" t="str">
        <v>Robert Thomas</v>
      </c>
      <c r="E488" s="4" t="str">
        <v>P010</v>
      </c>
      <c r="F488" s="4" t="str">
        <v>Keyboard</v>
      </c>
      <c r="G488" s="4" t="str">
        <v>Electronics</v>
      </c>
      <c r="H488" s="4">
        <v>1</v>
      </c>
      <c r="I488" s="6">
        <v>89.99</v>
      </c>
      <c r="J488" s="4" t="str">
        <v>Credit Card</v>
      </c>
      <c r="K488" s="4" t="str">
        <v>South</v>
      </c>
      <c r="L488" s="4" t="str">
        <v>Premium</v>
      </c>
      <c r="M488" s="5">
        <v>44591</v>
      </c>
      <c r="N488" s="6">
        <v>89.99</v>
      </c>
    </row>
    <row r="489" spans="1:14">
      <c r="A489" s="4" t="str">
        <v>TRX0147</v>
      </c>
      <c r="B489" s="5">
        <v>45655</v>
      </c>
      <c r="C489" s="4" t="str">
        <v>CUST036</v>
      </c>
      <c r="D489" s="4" t="str">
        <v>Nancy Collins</v>
      </c>
      <c r="E489" s="4" t="str">
        <v>P008</v>
      </c>
      <c r="F489" s="4" t="str">
        <v>Bookshelf</v>
      </c>
      <c r="G489" s="4" t="str">
        <v>Furniture</v>
      </c>
      <c r="H489" s="4">
        <v>5</v>
      </c>
      <c r="I489" s="6">
        <v>149.99</v>
      </c>
      <c r="J489" s="4" t="str">
        <v>Cash</v>
      </c>
      <c r="K489" s="4" t="str">
        <v>Central</v>
      </c>
      <c r="L489" s="4" t="str">
        <v>Premium</v>
      </c>
      <c r="M489" s="5">
        <v>45347</v>
      </c>
      <c r="N489" s="6">
        <v>749.95</v>
      </c>
    </row>
    <row r="490" spans="1:14">
      <c r="A490" s="4" t="str">
        <v>TRX0207</v>
      </c>
      <c r="B490" s="5">
        <v>45657</v>
      </c>
      <c r="C490" s="4" t="str">
        <v>CUST025</v>
      </c>
      <c r="D490" s="4" t="str">
        <v>Mark Carter</v>
      </c>
      <c r="E490" s="4" t="str">
        <v>P001</v>
      </c>
      <c r="F490" s="4" t="str">
        <v>Laptop</v>
      </c>
      <c r="G490" s="4" t="str">
        <v>Electronics</v>
      </c>
      <c r="H490" s="4">
        <v>1</v>
      </c>
      <c r="I490" s="6">
        <v>899.99</v>
      </c>
      <c r="J490" s="4" t="str">
        <v>PayPal</v>
      </c>
      <c r="K490" s="4" t="str">
        <v>North</v>
      </c>
      <c r="L490" s="4" t="str">
        <v>Premium</v>
      </c>
      <c r="M490" s="5">
        <v>45050</v>
      </c>
      <c r="N490" s="6">
        <v>899.99</v>
      </c>
    </row>
    <row r="491" spans="1:14">
      <c r="A491" s="4" t="str">
        <v>TRX0056</v>
      </c>
      <c r="B491" s="5">
        <v>45660</v>
      </c>
      <c r="C491" s="4" t="str">
        <v>CUST019</v>
      </c>
      <c r="D491" s="4" t="str">
        <v>Daniel King</v>
      </c>
      <c r="E491" s="4" t="str">
        <v>P010</v>
      </c>
      <c r="F491" s="4" t="str">
        <v>Keyboard</v>
      </c>
      <c r="G491" s="4" t="str">
        <v>Electronics</v>
      </c>
      <c r="H491" s="4">
        <v>2</v>
      </c>
      <c r="I491" s="6">
        <v>89.99</v>
      </c>
      <c r="J491" s="4" t="str">
        <v>Credit Card</v>
      </c>
      <c r="K491" s="4" t="str">
        <v>South</v>
      </c>
      <c r="L491" s="4" t="str">
        <v>Premium</v>
      </c>
      <c r="M491" s="5">
        <v>44564</v>
      </c>
      <c r="N491" s="6">
        <v>179.98</v>
      </c>
    </row>
    <row r="492" spans="1:14">
      <c r="A492" s="4" t="str">
        <v>TRX0026</v>
      </c>
      <c r="B492" s="5">
        <v>45661</v>
      </c>
      <c r="C492" s="4" t="str">
        <v>CUST037</v>
      </c>
      <c r="D492" s="4" t="str">
        <v>Arthur Edwards</v>
      </c>
      <c r="E492" s="4" t="str">
        <v>P001</v>
      </c>
      <c r="F492" s="4" t="str">
        <v>Laptop</v>
      </c>
      <c r="G492" s="4" t="str">
        <v>Electronics</v>
      </c>
      <c r="H492" s="4">
        <v>1</v>
      </c>
      <c r="I492" s="6">
        <v>899.99</v>
      </c>
      <c r="J492" s="4" t="str">
        <v>PayPal</v>
      </c>
      <c r="K492" s="4" t="str">
        <v>North</v>
      </c>
      <c r="L492" s="4" t="str">
        <v>Standard</v>
      </c>
      <c r="M492" s="5">
        <v>44752</v>
      </c>
      <c r="N492" s="6">
        <v>899.99</v>
      </c>
    </row>
    <row r="493" spans="1:14">
      <c r="A493" s="4" t="str">
        <v>TRX0237</v>
      </c>
      <c r="B493" s="5">
        <v>45663</v>
      </c>
      <c r="C493" s="4" t="str">
        <v>CUST006</v>
      </c>
      <c r="D493" s="4" t="str">
        <v>Lisa Anderson</v>
      </c>
      <c r="E493" s="4" t="str">
        <v>P003</v>
      </c>
      <c r="F493" s="4" t="str">
        <v>Headphones</v>
      </c>
      <c r="G493" s="4" t="str">
        <v>Electronics</v>
      </c>
      <c r="H493" s="4">
        <v>5</v>
      </c>
      <c r="I493" s="6">
        <v>149.99</v>
      </c>
      <c r="J493" s="4" t="str">
        <v>PayPal</v>
      </c>
      <c r="K493" s="4" t="str">
        <v>East</v>
      </c>
      <c r="L493" s="4" t="str">
        <v>Premium</v>
      </c>
      <c r="M493" s="5">
        <v>44824</v>
      </c>
      <c r="N493" s="6">
        <v>749.95</v>
      </c>
    </row>
    <row r="494" spans="1:14">
      <c r="A494" s="4" t="str">
        <v>TRX0091</v>
      </c>
      <c r="B494" s="5">
        <v>45663</v>
      </c>
      <c r="C494" s="4" t="str">
        <v>CUST003</v>
      </c>
      <c r="D494" s="4" t="str">
        <v>Michael Brown</v>
      </c>
      <c r="E494" s="4" t="str">
        <v>P007</v>
      </c>
      <c r="F494" s="4" t="str">
        <v>Desk</v>
      </c>
      <c r="G494" s="4" t="str">
        <v>Furniture</v>
      </c>
      <c r="H494" s="4">
        <v>3</v>
      </c>
      <c r="I494" s="6">
        <v>299.99</v>
      </c>
      <c r="J494" s="4" t="str">
        <v>Cash</v>
      </c>
      <c r="K494" s="4" t="str">
        <v>South</v>
      </c>
      <c r="L494" s="4" t="str">
        <v>Standard</v>
      </c>
      <c r="M494" s="5">
        <v>44422</v>
      </c>
      <c r="N494" s="6">
        <v>899.97</v>
      </c>
    </row>
    <row r="495" spans="1:14">
      <c r="A495" s="4" t="str">
        <v>TRX0125</v>
      </c>
      <c r="B495" s="5">
        <v>45666</v>
      </c>
      <c r="C495" s="4" t="str">
        <v>CUST026</v>
      </c>
      <c r="D495" s="4" t="str">
        <v>Karen Hill</v>
      </c>
      <c r="E495" s="4" t="str">
        <v>P002</v>
      </c>
      <c r="F495" s="4" t="str">
        <v>Smartphone</v>
      </c>
      <c r="G495" s="4" t="str">
        <v>Electronics</v>
      </c>
      <c r="H495" s="4">
        <v>3</v>
      </c>
      <c r="I495" s="6">
        <v>699.99</v>
      </c>
      <c r="J495" s="4" t="str">
        <v>Credit Card</v>
      </c>
      <c r="K495" s="4" t="str">
        <v>Central</v>
      </c>
      <c r="L495" s="4" t="str">
        <v>Premium</v>
      </c>
      <c r="M495" s="5">
        <v>45105</v>
      </c>
      <c r="N495" s="6">
        <v>2099.9699999999998</v>
      </c>
    </row>
    <row r="496" spans="1:14">
      <c r="A496" s="4" t="str">
        <v>TRX0223</v>
      </c>
      <c r="B496" s="5">
        <v>45667</v>
      </c>
      <c r="C496" s="4" t="str">
        <v>CUST036</v>
      </c>
      <c r="D496" s="4" t="str">
        <v>Nancy Collins</v>
      </c>
      <c r="E496" s="4" t="str">
        <v>P006</v>
      </c>
      <c r="F496" s="4" t="str">
        <v>Office Chair</v>
      </c>
      <c r="G496" s="4" t="str">
        <v>Furniture</v>
      </c>
      <c r="H496" s="4">
        <v>5</v>
      </c>
      <c r="I496" s="6">
        <v>199.99</v>
      </c>
      <c r="J496" s="4" t="str">
        <v>PayPal</v>
      </c>
      <c r="K496" s="4" t="str">
        <v>Central</v>
      </c>
      <c r="L496" s="4" t="str">
        <v>Standard</v>
      </c>
      <c r="M496" s="5">
        <v>44633</v>
      </c>
      <c r="N496" s="6">
        <v>999.95</v>
      </c>
    </row>
    <row r="497" spans="1:14">
      <c r="A497" s="4" t="str">
        <v>TRX0243</v>
      </c>
      <c r="B497" s="5">
        <v>45667</v>
      </c>
      <c r="C497" s="4" t="str">
        <v>CUST048</v>
      </c>
      <c r="D497" s="4" t="str">
        <v>Virginia Sanders</v>
      </c>
      <c r="E497" s="4" t="str">
        <v>P009</v>
      </c>
      <c r="F497" s="4" t="str">
        <v>Monitor</v>
      </c>
      <c r="G497" s="4" t="str">
        <v>Electronics</v>
      </c>
      <c r="H497" s="4">
        <v>5</v>
      </c>
      <c r="I497" s="6">
        <v>249.99</v>
      </c>
      <c r="J497" s="4" t="str">
        <v>Credit Card</v>
      </c>
      <c r="K497" s="4" t="str">
        <v>South</v>
      </c>
      <c r="L497" s="4" t="str">
        <v>Basic</v>
      </c>
      <c r="M497" s="5">
        <v>45330</v>
      </c>
      <c r="N497" s="6">
        <v>1249.95</v>
      </c>
    </row>
    <row r="498" spans="1:14">
      <c r="A498" s="4" t="str">
        <v>TRX0084</v>
      </c>
      <c r="B498" s="5">
        <v>45668</v>
      </c>
      <c r="C498" s="4" t="str">
        <v>CUST031</v>
      </c>
      <c r="D498" s="4" t="str">
        <v>Steven Turner</v>
      </c>
      <c r="E498" s="4" t="str">
        <v>P003</v>
      </c>
      <c r="F498" s="4" t="str">
        <v>Headphones</v>
      </c>
      <c r="G498" s="4" t="str">
        <v>Electronics</v>
      </c>
      <c r="H498" s="4">
        <v>4</v>
      </c>
      <c r="I498" s="6">
        <v>149.99</v>
      </c>
      <c r="J498" s="4" t="str">
        <v>Debit Card</v>
      </c>
      <c r="K498" s="4" t="str">
        <v>East</v>
      </c>
      <c r="L498" s="4" t="str">
        <v>Standard</v>
      </c>
      <c r="M498" s="5">
        <v>44536</v>
      </c>
      <c r="N498" s="6">
        <v>599.96</v>
      </c>
    </row>
    <row r="499" spans="1:14">
      <c r="A499" s="4" t="str">
        <v>TRX0238</v>
      </c>
      <c r="B499" s="5">
        <v>45668</v>
      </c>
      <c r="C499" s="4" t="str">
        <v>CUST038</v>
      </c>
      <c r="D499" s="4" t="str">
        <v>Michelle Rogers</v>
      </c>
      <c r="E499" s="4" t="str">
        <v>P002</v>
      </c>
      <c r="F499" s="4" t="str">
        <v>Smartphone</v>
      </c>
      <c r="G499" s="4" t="str">
        <v>Electronics</v>
      </c>
      <c r="H499" s="4">
        <v>3</v>
      </c>
      <c r="I499" s="6">
        <v>699.99</v>
      </c>
      <c r="J499" s="4" t="str">
        <v>Cash</v>
      </c>
      <c r="K499" s="4" t="str">
        <v>North</v>
      </c>
      <c r="L499" s="4" t="str">
        <v>Premium</v>
      </c>
      <c r="M499" s="5">
        <v>44602</v>
      </c>
      <c r="N499" s="6">
        <v>2099.9699999999998</v>
      </c>
    </row>
    <row r="500" spans="1:14">
      <c r="A500" s="4" t="str">
        <v>TRX0102</v>
      </c>
      <c r="B500" s="5">
        <v>45670</v>
      </c>
      <c r="C500" s="4" t="str">
        <v>CUST045</v>
      </c>
      <c r="D500" s="4" t="str">
        <v>Douglas Watson</v>
      </c>
      <c r="E500" s="4" t="str">
        <v>P004</v>
      </c>
      <c r="F500" s="4" t="str">
        <v>Coffee Maker</v>
      </c>
      <c r="G500" s="4" t="str">
        <v>Appliances</v>
      </c>
      <c r="H500" s="4">
        <v>1</v>
      </c>
      <c r="I500" s="6">
        <v>79.989999999999995</v>
      </c>
      <c r="J500" s="4" t="str">
        <v>Credit Card</v>
      </c>
      <c r="K500" s="4" t="str">
        <v>South</v>
      </c>
      <c r="L500" s="4" t="str">
        <v>Basic</v>
      </c>
      <c r="M500" s="5">
        <v>45322</v>
      </c>
      <c r="N500" s="6">
        <v>79.989999999999995</v>
      </c>
    </row>
    <row r="501" spans="1:14">
      <c r="A501" s="4" t="str">
        <v>TRX0022</v>
      </c>
      <c r="B501" s="5">
        <v>45670</v>
      </c>
      <c r="C501" s="4" t="str">
        <v>CUST025</v>
      </c>
      <c r="D501" s="4" t="str">
        <v>Mark Carter</v>
      </c>
      <c r="E501" s="4" t="str">
        <v>P007</v>
      </c>
      <c r="F501" s="4" t="str">
        <v>Desk</v>
      </c>
      <c r="G501" s="4" t="str">
        <v>Furniture</v>
      </c>
      <c r="H501" s="4">
        <v>1</v>
      </c>
      <c r="I501" s="6">
        <v>299.99</v>
      </c>
      <c r="J501" s="4" t="str">
        <v>Credit Card</v>
      </c>
      <c r="K501" s="4" t="str">
        <v>North</v>
      </c>
      <c r="L501" s="4" t="str">
        <v>Basic</v>
      </c>
      <c r="M501" s="5">
        <v>44436</v>
      </c>
      <c r="N501" s="6">
        <v>299.99</v>
      </c>
    </row>
    <row r="502" spans="1:14">
      <c r="A502" s="4" t="str">
        <v>TRX0087</v>
      </c>
      <c r="B502" s="5">
        <v>45671</v>
      </c>
      <c r="C502" s="4" t="str">
        <v>CUST028</v>
      </c>
      <c r="D502" s="4" t="str">
        <v>Betty Campbell</v>
      </c>
      <c r="E502" s="4" t="str">
        <v>P009</v>
      </c>
      <c r="F502" s="4" t="str">
        <v>Monitor</v>
      </c>
      <c r="G502" s="4" t="str">
        <v>Electronics</v>
      </c>
      <c r="H502" s="4">
        <v>4</v>
      </c>
      <c r="I502" s="6">
        <v>249.99</v>
      </c>
      <c r="J502" s="4" t="str">
        <v>Credit Card</v>
      </c>
      <c r="K502" s="4" t="str">
        <v>North</v>
      </c>
      <c r="L502" s="4" t="str">
        <v>Premium</v>
      </c>
      <c r="M502" s="5">
        <v>44460</v>
      </c>
      <c r="N502" s="6">
        <v>999.96</v>
      </c>
    </row>
    <row r="503" spans="1:14">
      <c r="A503" s="4" t="str">
        <v>TRX0107</v>
      </c>
      <c r="B503" s="5">
        <v>45671</v>
      </c>
      <c r="C503" s="4" t="str">
        <v>CUST030</v>
      </c>
      <c r="D503" s="4" t="str">
        <v>Helen Roberts</v>
      </c>
      <c r="E503" s="4" t="str">
        <v>P003</v>
      </c>
      <c r="F503" s="4" t="str">
        <v>Headphones</v>
      </c>
      <c r="G503" s="4" t="str">
        <v>Electronics</v>
      </c>
      <c r="H503" s="4">
        <v>2</v>
      </c>
      <c r="I503" s="6">
        <v>149.99</v>
      </c>
      <c r="J503" s="4" t="str">
        <v>Cash</v>
      </c>
      <c r="K503" s="4" t="str">
        <v>North</v>
      </c>
      <c r="L503" s="4" t="str">
        <v>Standard</v>
      </c>
      <c r="M503" s="5">
        <v>44913</v>
      </c>
      <c r="N503" s="6">
        <v>299.98</v>
      </c>
    </row>
    <row r="504" spans="1:14">
      <c r="A504" s="4" t="str">
        <v>TRX0051</v>
      </c>
      <c r="B504" s="5">
        <v>45671</v>
      </c>
      <c r="C504" s="4" t="str">
        <v>CUST032</v>
      </c>
      <c r="D504" s="4" t="str">
        <v>Sandra Phillips</v>
      </c>
      <c r="E504" s="4" t="str">
        <v>P007</v>
      </c>
      <c r="F504" s="4" t="str">
        <v>Desk</v>
      </c>
      <c r="G504" s="4" t="str">
        <v>Furniture</v>
      </c>
      <c r="H504" s="4">
        <v>3</v>
      </c>
      <c r="I504" s="6">
        <v>299.99</v>
      </c>
      <c r="J504" s="4" t="str">
        <v>Credit Card</v>
      </c>
      <c r="K504" s="4" t="str">
        <v>South</v>
      </c>
      <c r="L504" s="4" t="str">
        <v>Basic</v>
      </c>
      <c r="M504" s="5">
        <v>45204</v>
      </c>
      <c r="N504" s="6">
        <v>899.97</v>
      </c>
    </row>
    <row r="505" spans="1:14">
      <c r="A505" s="4" t="str">
        <v>TRX0106</v>
      </c>
      <c r="B505" s="5">
        <v>45673</v>
      </c>
      <c r="C505" s="4" t="str">
        <v>CUST039</v>
      </c>
      <c r="D505" s="4" t="str">
        <v>Lawrence Reed</v>
      </c>
      <c r="E505" s="4" t="str">
        <v>P006</v>
      </c>
      <c r="F505" s="4" t="str">
        <v>Office Chair</v>
      </c>
      <c r="G505" s="4" t="str">
        <v>Furniture</v>
      </c>
      <c r="H505" s="4">
        <v>4</v>
      </c>
      <c r="I505" s="6">
        <v>199.99</v>
      </c>
      <c r="J505" s="4" t="str">
        <v>Debit Card</v>
      </c>
      <c r="K505" s="4" t="str">
        <v>South</v>
      </c>
      <c r="L505" s="4" t="str">
        <v>Standard</v>
      </c>
      <c r="M505" s="5">
        <v>44544</v>
      </c>
      <c r="N505" s="6">
        <v>799.96</v>
      </c>
    </row>
    <row r="506" spans="1:14">
      <c r="A506" s="4" t="str">
        <v>TRX0059</v>
      </c>
      <c r="B506" s="5">
        <v>45673</v>
      </c>
      <c r="C506" s="4" t="str">
        <v>CUST016</v>
      </c>
      <c r="D506" s="4" t="str">
        <v>Elizabeth Hall</v>
      </c>
      <c r="E506" s="4" t="str">
        <v>P007</v>
      </c>
      <c r="F506" s="4" t="str">
        <v>Desk</v>
      </c>
      <c r="G506" s="4" t="str">
        <v>Furniture</v>
      </c>
      <c r="H506" s="4">
        <v>5</v>
      </c>
      <c r="I506" s="6">
        <v>299.99</v>
      </c>
      <c r="J506" s="4" t="str">
        <v>Debit Card</v>
      </c>
      <c r="K506" s="4" t="str">
        <v>Central</v>
      </c>
      <c r="L506" s="4" t="str">
        <v>Basic</v>
      </c>
      <c r="M506" s="5">
        <v>44431</v>
      </c>
      <c r="N506" s="6">
        <v>1499.95</v>
      </c>
    </row>
    <row r="507" spans="1:14">
      <c r="A507" s="4" t="str">
        <v>TRX0072</v>
      </c>
      <c r="B507" s="5">
        <v>45673</v>
      </c>
      <c r="C507" s="4" t="str">
        <v>CUST009</v>
      </c>
      <c r="D507" s="4" t="str">
        <v>Robert Thomas</v>
      </c>
      <c r="E507" s="4" t="str">
        <v>P008</v>
      </c>
      <c r="F507" s="4" t="str">
        <v>Bookshelf</v>
      </c>
      <c r="G507" s="4" t="str">
        <v>Furniture</v>
      </c>
      <c r="H507" s="4">
        <v>3</v>
      </c>
      <c r="I507" s="6">
        <v>149.99</v>
      </c>
      <c r="J507" s="4" t="str">
        <v>Credit Card</v>
      </c>
      <c r="K507" s="4" t="str">
        <v>East</v>
      </c>
      <c r="L507" s="4" t="str">
        <v>Standard</v>
      </c>
      <c r="M507" s="5">
        <v>44395</v>
      </c>
      <c r="N507" s="6">
        <v>449.97</v>
      </c>
    </row>
    <row r="508" spans="1:14">
      <c r="A508" s="4" t="str">
        <v>TRX0110</v>
      </c>
      <c r="B508" s="5">
        <v>45676</v>
      </c>
      <c r="C508" s="4" t="str">
        <v>CUST006</v>
      </c>
      <c r="D508" s="4" t="str">
        <v>Lisa Anderson</v>
      </c>
      <c r="E508" s="4" t="str">
        <v>P005</v>
      </c>
      <c r="F508" s="4" t="str">
        <v>Blender</v>
      </c>
      <c r="G508" s="4" t="str">
        <v>Appliances</v>
      </c>
      <c r="H508" s="4">
        <v>5</v>
      </c>
      <c r="I508" s="6">
        <v>59.99</v>
      </c>
      <c r="J508" s="4" t="str">
        <v>Debit Card</v>
      </c>
      <c r="K508" s="4" t="str">
        <v>East</v>
      </c>
      <c r="L508" s="4" t="str">
        <v>Basic</v>
      </c>
      <c r="M508" s="5">
        <v>44642</v>
      </c>
      <c r="N508" s="6">
        <v>299.95</v>
      </c>
    </row>
    <row r="509" spans="1:14">
      <c r="A509" s="4" t="str">
        <v>TRX0126</v>
      </c>
      <c r="B509" s="5">
        <v>45682</v>
      </c>
      <c r="C509" s="4" t="str">
        <v>CUST022</v>
      </c>
      <c r="D509" s="4" t="str">
        <v>Susan Green</v>
      </c>
      <c r="E509" s="4" t="str">
        <v>P005</v>
      </c>
      <c r="F509" s="4" t="str">
        <v>Blender</v>
      </c>
      <c r="G509" s="4" t="str">
        <v>Appliances</v>
      </c>
      <c r="H509" s="4">
        <v>4</v>
      </c>
      <c r="I509" s="6">
        <v>59.99</v>
      </c>
      <c r="J509" s="4" t="str">
        <v>Debit Card</v>
      </c>
      <c r="K509" s="4" t="str">
        <v>East</v>
      </c>
      <c r="L509" s="4" t="str">
        <v>Standard</v>
      </c>
      <c r="M509" s="5">
        <v>44564</v>
      </c>
      <c r="N509" s="6">
        <v>239.96</v>
      </c>
    </row>
    <row r="510" spans="1:14">
      <c r="A510" s="4" t="str">
        <v>TRX0159</v>
      </c>
      <c r="B510" s="5">
        <v>45683</v>
      </c>
      <c r="C510" s="4" t="str">
        <v>CUST024</v>
      </c>
      <c r="D510" s="4" t="str">
        <v>Dorothy Nelson</v>
      </c>
      <c r="E510" s="4" t="str">
        <v>P009</v>
      </c>
      <c r="F510" s="4" t="str">
        <v>Monitor</v>
      </c>
      <c r="G510" s="4" t="str">
        <v>Electronics</v>
      </c>
      <c r="H510" s="4">
        <v>4</v>
      </c>
      <c r="I510" s="6">
        <v>249.99</v>
      </c>
      <c r="J510" s="4" t="str">
        <v>Debit Card</v>
      </c>
      <c r="K510" s="4" t="str">
        <v>Central</v>
      </c>
      <c r="L510" s="4" t="str">
        <v>Premium</v>
      </c>
      <c r="M510" s="5">
        <v>45217</v>
      </c>
      <c r="N510" s="6">
        <v>999.96</v>
      </c>
    </row>
    <row r="511" spans="1:14">
      <c r="A511" s="4" t="str">
        <v>TRX0030</v>
      </c>
      <c r="B511" s="5">
        <v>45686</v>
      </c>
      <c r="C511" s="4" t="str">
        <v>CUST011</v>
      </c>
      <c r="D511" s="4" t="str">
        <v>William White</v>
      </c>
      <c r="E511" s="4" t="str">
        <v>P001</v>
      </c>
      <c r="F511" s="4" t="str">
        <v>Laptop</v>
      </c>
      <c r="G511" s="4" t="str">
        <v>Electronics</v>
      </c>
      <c r="H511" s="4">
        <v>4</v>
      </c>
      <c r="I511" s="6">
        <v>899.99</v>
      </c>
      <c r="J511" s="4" t="str">
        <v>PayPal</v>
      </c>
      <c r="K511" s="4" t="str">
        <v>Central</v>
      </c>
      <c r="L511" s="4" t="str">
        <v>Basic</v>
      </c>
      <c r="M511" s="5">
        <v>44734</v>
      </c>
      <c r="N511" s="6">
        <v>3599.96</v>
      </c>
    </row>
    <row r="512" spans="1:14">
      <c r="A512" s="4" t="str">
        <v>TRX0178</v>
      </c>
      <c r="B512" s="5">
        <v>45686</v>
      </c>
      <c r="C512" s="4" t="str">
        <v>CUST025</v>
      </c>
      <c r="D512" s="4" t="str">
        <v>Mark Carter</v>
      </c>
      <c r="E512" s="4" t="str">
        <v>P007</v>
      </c>
      <c r="F512" s="4" t="str">
        <v>Desk</v>
      </c>
      <c r="G512" s="4" t="str">
        <v>Furniture</v>
      </c>
      <c r="H512" s="4">
        <v>3</v>
      </c>
      <c r="I512" s="6">
        <v>299.99</v>
      </c>
      <c r="J512" s="4" t="str">
        <v>Debit Card</v>
      </c>
      <c r="K512" s="4" t="str">
        <v>West</v>
      </c>
      <c r="L512" s="4" t="str">
        <v>Standard</v>
      </c>
      <c r="M512" s="5">
        <v>44952</v>
      </c>
      <c r="N512" s="6">
        <v>899.97</v>
      </c>
    </row>
    <row r="513" spans="1:14">
      <c r="A513" s="4" t="str">
        <v>TRX0188</v>
      </c>
      <c r="B513" s="5">
        <v>45686</v>
      </c>
      <c r="C513" s="4" t="str">
        <v>CUST045</v>
      </c>
      <c r="D513" s="4" t="str">
        <v>Douglas Watson</v>
      </c>
      <c r="E513" s="4" t="str">
        <v>P002</v>
      </c>
      <c r="F513" s="4" t="str">
        <v>Smartphone</v>
      </c>
      <c r="G513" s="4" t="str">
        <v>Electronics</v>
      </c>
      <c r="H513" s="4">
        <v>2</v>
      </c>
      <c r="I513" s="6">
        <v>699.99</v>
      </c>
      <c r="J513" s="4" t="str">
        <v>Debit Card</v>
      </c>
      <c r="K513" s="4" t="str">
        <v>Central</v>
      </c>
      <c r="L513" s="4" t="str">
        <v>Premium</v>
      </c>
      <c r="M513" s="5">
        <v>44681</v>
      </c>
      <c r="N513" s="6">
        <v>1399.98</v>
      </c>
    </row>
    <row r="514" spans="1:14">
      <c r="A514" s="4" t="str">
        <v>TRX0010</v>
      </c>
      <c r="B514" s="5">
        <v>45688</v>
      </c>
      <c r="C514" s="4" t="str">
        <v>CUST026</v>
      </c>
      <c r="D514" s="4" t="str">
        <v>Karen Hill</v>
      </c>
      <c r="E514" s="4" t="str">
        <v>P002</v>
      </c>
      <c r="F514" s="4" t="str">
        <v>Smartphone</v>
      </c>
      <c r="G514" s="4" t="str">
        <v>Electronics</v>
      </c>
      <c r="H514" s="4">
        <v>4</v>
      </c>
      <c r="I514" s="6">
        <v>699.99</v>
      </c>
      <c r="J514" s="4" t="str">
        <v>Debit Card</v>
      </c>
      <c r="K514" s="4" t="str">
        <v>West</v>
      </c>
      <c r="L514" s="4" t="str">
        <v>Premium</v>
      </c>
      <c r="M514" s="5">
        <v>44692</v>
      </c>
      <c r="N514" s="6">
        <v>2799.96</v>
      </c>
    </row>
    <row r="515" spans="1:14">
      <c r="A515" s="4" t="str">
        <v>TRX0069</v>
      </c>
      <c r="B515" s="5">
        <v>45688</v>
      </c>
      <c r="C515" s="4" t="str">
        <v>CUST029</v>
      </c>
      <c r="D515" s="4" t="str">
        <v>Edward Mitchell</v>
      </c>
      <c r="E515" s="4" t="str">
        <v>P010</v>
      </c>
      <c r="F515" s="4" t="str">
        <v>Keyboard</v>
      </c>
      <c r="G515" s="4" t="str">
        <v>Electronics</v>
      </c>
      <c r="H515" s="4">
        <v>2</v>
      </c>
      <c r="I515" s="6">
        <v>89.99</v>
      </c>
      <c r="J515" s="4" t="str">
        <v>Debit Card</v>
      </c>
      <c r="K515" s="4" t="str">
        <v>South</v>
      </c>
      <c r="L515" s="4" t="str">
        <v>Basic</v>
      </c>
      <c r="M515" s="5">
        <v>44777</v>
      </c>
      <c r="N515" s="6">
        <v>179.98</v>
      </c>
    </row>
    <row r="516" spans="1:14">
      <c r="A516" s="4" t="str">
        <v>TRX0166</v>
      </c>
      <c r="B516" s="5">
        <v>45688</v>
      </c>
      <c r="C516" s="4" t="str">
        <v>CUST003</v>
      </c>
      <c r="D516" s="4" t="str">
        <v>Michael Brown</v>
      </c>
      <c r="E516" s="4" t="str">
        <v>P010</v>
      </c>
      <c r="F516" s="4" t="str">
        <v>Keyboard</v>
      </c>
      <c r="G516" s="4" t="str">
        <v>Electronics</v>
      </c>
      <c r="H516" s="4">
        <v>3</v>
      </c>
      <c r="I516" s="6">
        <v>89.99</v>
      </c>
      <c r="J516" s="4" t="str">
        <v>Debit Card</v>
      </c>
      <c r="K516" s="4" t="str">
        <v>South</v>
      </c>
      <c r="L516" s="4" t="str">
        <v>Premium</v>
      </c>
      <c r="M516" s="5">
        <v>45307</v>
      </c>
      <c r="N516" s="6">
        <v>269.97000000000003</v>
      </c>
    </row>
    <row r="517" spans="1:14">
      <c r="A517" s="4" t="str">
        <v>TRX0219</v>
      </c>
      <c r="B517" s="5">
        <v>45692</v>
      </c>
      <c r="C517" s="4" t="str">
        <v>CUST037</v>
      </c>
      <c r="D517" s="4" t="str">
        <v>Arthur Edwards</v>
      </c>
      <c r="E517" s="4" t="str">
        <v>P005</v>
      </c>
      <c r="F517" s="4" t="str">
        <v>Blender</v>
      </c>
      <c r="G517" s="4" t="str">
        <v>Appliances</v>
      </c>
      <c r="H517" s="4">
        <v>1</v>
      </c>
      <c r="I517" s="6">
        <v>59.99</v>
      </c>
      <c r="J517" s="4" t="str">
        <v>Debit Card</v>
      </c>
      <c r="K517" s="4" t="str">
        <v>Central</v>
      </c>
      <c r="L517" s="4" t="str">
        <v>Standard</v>
      </c>
      <c r="M517" s="5">
        <v>45045</v>
      </c>
      <c r="N517" s="6">
        <v>59.99</v>
      </c>
    </row>
    <row r="518" spans="1:14">
      <c r="A518" s="4" t="str">
        <v>TRX0024</v>
      </c>
      <c r="B518" s="5">
        <v>45695</v>
      </c>
      <c r="C518" s="4" t="str">
        <v>CUST042</v>
      </c>
      <c r="D518" s="4" t="str">
        <v>Ruth Brooks</v>
      </c>
      <c r="E518" s="4" t="str">
        <v>P008</v>
      </c>
      <c r="F518" s="4" t="str">
        <v>Bookshelf</v>
      </c>
      <c r="G518" s="4" t="str">
        <v>Furniture</v>
      </c>
      <c r="H518" s="4">
        <v>3</v>
      </c>
      <c r="I518" s="6">
        <v>149.99</v>
      </c>
      <c r="J518" s="4" t="str">
        <v>Debit Card</v>
      </c>
      <c r="K518" s="4" t="str">
        <v>North</v>
      </c>
      <c r="L518" s="4" t="str">
        <v>Premium</v>
      </c>
      <c r="M518" s="5">
        <v>44564</v>
      </c>
      <c r="N518" s="6">
        <v>449.97</v>
      </c>
    </row>
    <row r="519" spans="1:14">
      <c r="A519" s="4" t="str">
        <v>TRX0105</v>
      </c>
      <c r="B519" s="5">
        <v>45695</v>
      </c>
      <c r="C519" s="4" t="str">
        <v>CUST048</v>
      </c>
      <c r="D519" s="4" t="str">
        <v>Virginia Sanders</v>
      </c>
      <c r="E519" s="4" t="str">
        <v>P007</v>
      </c>
      <c r="F519" s="4" t="str">
        <v>Desk</v>
      </c>
      <c r="G519" s="4" t="str">
        <v>Furniture</v>
      </c>
      <c r="H519" s="4">
        <v>5</v>
      </c>
      <c r="I519" s="6">
        <v>299.99</v>
      </c>
      <c r="J519" s="4" t="str">
        <v>Credit Card</v>
      </c>
      <c r="K519" s="4" t="str">
        <v>South</v>
      </c>
      <c r="L519" s="4" t="str">
        <v>Basic</v>
      </c>
      <c r="M519" s="5">
        <v>44959</v>
      </c>
      <c r="N519" s="6">
        <v>1499.95</v>
      </c>
    </row>
    <row r="520" spans="1:14">
      <c r="A520" s="4" t="str">
        <v>TRX0011</v>
      </c>
      <c r="B520" s="5">
        <v>45696</v>
      </c>
      <c r="C520" s="4" t="str">
        <v>CUST040</v>
      </c>
      <c r="D520" s="4" t="str">
        <v>Sharon Butler</v>
      </c>
      <c r="E520" s="4" t="str">
        <v>P005</v>
      </c>
      <c r="F520" s="4" t="str">
        <v>Blender</v>
      </c>
      <c r="G520" s="4" t="str">
        <v>Appliances</v>
      </c>
      <c r="H520" s="4">
        <v>5</v>
      </c>
      <c r="I520" s="6">
        <v>59.99</v>
      </c>
      <c r="J520" s="4" t="str">
        <v>Debit Card</v>
      </c>
      <c r="K520" s="4" t="str">
        <v>Central</v>
      </c>
      <c r="L520" s="4" t="str">
        <v>Standard</v>
      </c>
      <c r="M520" s="5">
        <v>45177</v>
      </c>
      <c r="N520" s="6">
        <v>299.95</v>
      </c>
    </row>
    <row r="521" spans="1:14">
      <c r="A521" s="4" t="str">
        <v>TRX0187</v>
      </c>
      <c r="B521" s="5">
        <v>45701</v>
      </c>
      <c r="C521" s="4" t="str">
        <v>CUST036</v>
      </c>
      <c r="D521" s="4" t="str">
        <v>Nancy Collins</v>
      </c>
      <c r="E521" s="4" t="str">
        <v>P004</v>
      </c>
      <c r="F521" s="4" t="str">
        <v>Coffee Maker</v>
      </c>
      <c r="G521" s="4" t="str">
        <v>Appliances</v>
      </c>
      <c r="H521" s="4">
        <v>3</v>
      </c>
      <c r="I521" s="6">
        <v>79.989999999999995</v>
      </c>
      <c r="J521" s="4" t="str">
        <v>Cash</v>
      </c>
      <c r="K521" s="4" t="str">
        <v>East</v>
      </c>
      <c r="L521" s="4" t="str">
        <v>Premium</v>
      </c>
      <c r="M521" s="5">
        <v>44436</v>
      </c>
      <c r="N521" s="6">
        <v>239.97</v>
      </c>
    </row>
    <row r="522" spans="1:14">
      <c r="A522" s="4" t="str">
        <v>TRX0089</v>
      </c>
      <c r="B522" s="5">
        <v>45704</v>
      </c>
      <c r="C522" s="4" t="str">
        <v>CUST021</v>
      </c>
      <c r="D522" s="4" t="str">
        <v>Kevin Scott</v>
      </c>
      <c r="E522" s="4" t="str">
        <v>P006</v>
      </c>
      <c r="F522" s="4" t="str">
        <v>Office Chair</v>
      </c>
      <c r="G522" s="4" t="str">
        <v>Furniture</v>
      </c>
      <c r="H522" s="4">
        <v>3</v>
      </c>
      <c r="I522" s="6">
        <v>199.99</v>
      </c>
      <c r="J522" s="4" t="str">
        <v>Cash</v>
      </c>
      <c r="K522" s="4" t="str">
        <v>Central</v>
      </c>
      <c r="L522" s="4" t="str">
        <v>Basic</v>
      </c>
      <c r="M522" s="5">
        <v>44735</v>
      </c>
      <c r="N522" s="6">
        <v>599.97</v>
      </c>
    </row>
    <row r="523" spans="1:14">
      <c r="A523" s="4" t="str">
        <v>TRX0196</v>
      </c>
      <c r="B523" s="5">
        <v>45704</v>
      </c>
      <c r="C523" s="4" t="str">
        <v>CUST023</v>
      </c>
      <c r="D523" s="4" t="str">
        <v>Paul Baker</v>
      </c>
      <c r="E523" s="4" t="str">
        <v>P010</v>
      </c>
      <c r="F523" s="4" t="str">
        <v>Keyboard</v>
      </c>
      <c r="G523" s="4" t="str">
        <v>Electronics</v>
      </c>
      <c r="H523" s="4">
        <v>2</v>
      </c>
      <c r="I523" s="6">
        <v>89.99</v>
      </c>
      <c r="J523" s="4" t="str">
        <v>PayPal</v>
      </c>
      <c r="K523" s="4" t="str">
        <v>Central</v>
      </c>
      <c r="L523" s="4" t="str">
        <v>Basic</v>
      </c>
      <c r="M523" s="5">
        <v>45257</v>
      </c>
      <c r="N523" s="6">
        <v>179.98</v>
      </c>
    </row>
    <row r="524" spans="1:14">
      <c r="A524" s="4" t="str">
        <v>TRX0118</v>
      </c>
      <c r="B524" s="5">
        <v>45705</v>
      </c>
      <c r="C524" s="4" t="str">
        <v>CUST015</v>
      </c>
      <c r="D524" s="4" t="str">
        <v>Richard Lee</v>
      </c>
      <c r="E524" s="4" t="str">
        <v>P008</v>
      </c>
      <c r="F524" s="4" t="str">
        <v>Bookshelf</v>
      </c>
      <c r="G524" s="4" t="str">
        <v>Furniture</v>
      </c>
      <c r="H524" s="4">
        <v>2</v>
      </c>
      <c r="I524" s="6">
        <v>149.99</v>
      </c>
      <c r="J524" s="4" t="str">
        <v>Cash</v>
      </c>
      <c r="K524" s="4" t="str">
        <v>South</v>
      </c>
      <c r="L524" s="4" t="str">
        <v>Premium</v>
      </c>
      <c r="M524" s="5">
        <v>44728</v>
      </c>
      <c r="N524" s="6">
        <v>299.98</v>
      </c>
    </row>
    <row r="525" spans="1:14">
      <c r="A525" s="4" t="str">
        <v>TRX0179</v>
      </c>
      <c r="B525" s="5">
        <v>45707</v>
      </c>
      <c r="C525" s="4" t="str">
        <v>CUST029</v>
      </c>
      <c r="D525" s="4" t="str">
        <v>Edward Mitchell</v>
      </c>
      <c r="E525" s="4" t="str">
        <v>P002</v>
      </c>
      <c r="F525" s="4" t="str">
        <v>Smartphone</v>
      </c>
      <c r="G525" s="4" t="str">
        <v>Electronics</v>
      </c>
      <c r="H525" s="4">
        <v>5</v>
      </c>
      <c r="I525" s="6">
        <v>699.99</v>
      </c>
      <c r="J525" s="4" t="str">
        <v>PayPal</v>
      </c>
      <c r="K525" s="4" t="str">
        <v>South</v>
      </c>
      <c r="L525" s="4" t="str">
        <v>Premium</v>
      </c>
      <c r="M525" s="5">
        <v>45352</v>
      </c>
      <c r="N525" s="6">
        <v>3499.95</v>
      </c>
    </row>
    <row r="526" spans="1:14">
      <c r="A526" s="4" t="str">
        <v>TRX0168</v>
      </c>
      <c r="B526" s="5">
        <v>45707</v>
      </c>
      <c r="C526" s="4" t="str">
        <v>CUST003</v>
      </c>
      <c r="D526" s="4" t="str">
        <v>Michael Brown</v>
      </c>
      <c r="E526" s="4" t="str">
        <v>P008</v>
      </c>
      <c r="F526" s="4" t="str">
        <v>Bookshelf</v>
      </c>
      <c r="G526" s="4" t="str">
        <v>Furniture</v>
      </c>
      <c r="H526" s="4">
        <v>3</v>
      </c>
      <c r="I526" s="6">
        <v>149.99</v>
      </c>
      <c r="J526" s="4" t="str">
        <v>PayPal</v>
      </c>
      <c r="K526" s="4" t="str">
        <v>Central</v>
      </c>
      <c r="L526" s="4" t="str">
        <v>Standard</v>
      </c>
      <c r="M526" s="5">
        <v>44633</v>
      </c>
      <c r="N526" s="6">
        <v>449.97</v>
      </c>
    </row>
    <row r="527" spans="1:14">
      <c r="A527" s="4" t="str">
        <v>TRX0214</v>
      </c>
      <c r="B527" s="5">
        <v>45708</v>
      </c>
      <c r="C527" s="4" t="str">
        <v>CUST018</v>
      </c>
      <c r="D527" s="4" t="str">
        <v>Barbara Young</v>
      </c>
      <c r="E527" s="4" t="str">
        <v>P001</v>
      </c>
      <c r="F527" s="4" t="str">
        <v>Laptop</v>
      </c>
      <c r="G527" s="4" t="str">
        <v>Electronics</v>
      </c>
      <c r="H527" s="4">
        <v>3</v>
      </c>
      <c r="I527" s="6">
        <v>899.99</v>
      </c>
      <c r="J527" s="4" t="str">
        <v>Cash</v>
      </c>
      <c r="K527" s="4" t="str">
        <v>East</v>
      </c>
      <c r="L527" s="4" t="str">
        <v>Standard</v>
      </c>
      <c r="M527" s="5">
        <v>44613</v>
      </c>
      <c r="N527" s="6">
        <v>2699.97</v>
      </c>
    </row>
    <row r="528" spans="1:14">
      <c r="A528" s="4" t="str">
        <v>TRX0221</v>
      </c>
      <c r="B528" s="5">
        <v>45708</v>
      </c>
      <c r="C528" s="4" t="str">
        <v>CUST033</v>
      </c>
      <c r="D528" s="4" t="str">
        <v>Frank Torres</v>
      </c>
      <c r="E528" s="4" t="str">
        <v>P006</v>
      </c>
      <c r="F528" s="4" t="str">
        <v>Office Chair</v>
      </c>
      <c r="G528" s="4" t="str">
        <v>Furniture</v>
      </c>
      <c r="H528" s="4">
        <v>3</v>
      </c>
      <c r="I528" s="6">
        <v>199.99</v>
      </c>
      <c r="J528" s="4" t="str">
        <v>Cash</v>
      </c>
      <c r="K528" s="4" t="str">
        <v>West</v>
      </c>
      <c r="L528" s="4" t="str">
        <v>Premium</v>
      </c>
      <c r="M528" s="5">
        <v>44823</v>
      </c>
      <c r="N528" s="6">
        <v>599.97</v>
      </c>
    </row>
    <row r="529" spans="1:14">
      <c r="A529" s="4" t="str">
        <v>TRX0083</v>
      </c>
      <c r="B529" s="5">
        <v>45710</v>
      </c>
      <c r="C529" s="4" t="str">
        <v>CUST017</v>
      </c>
      <c r="D529" s="4" t="str">
        <v>Charles Allen</v>
      </c>
      <c r="E529" s="4" t="str">
        <v>P007</v>
      </c>
      <c r="F529" s="4" t="str">
        <v>Desk</v>
      </c>
      <c r="G529" s="4" t="str">
        <v>Furniture</v>
      </c>
      <c r="H529" s="4">
        <v>5</v>
      </c>
      <c r="I529" s="6">
        <v>299.99</v>
      </c>
      <c r="J529" s="4" t="str">
        <v>Cash</v>
      </c>
      <c r="K529" s="4" t="str">
        <v>West</v>
      </c>
      <c r="L529" s="4" t="str">
        <v>Standard</v>
      </c>
      <c r="M529" s="5">
        <v>45142</v>
      </c>
      <c r="N529" s="6">
        <v>1499.95</v>
      </c>
    </row>
    <row r="530" spans="1:14">
      <c r="A530" s="4" t="str">
        <v>TRX0151</v>
      </c>
      <c r="B530" s="5">
        <v>45710</v>
      </c>
      <c r="C530" s="4" t="str">
        <v>CUST040</v>
      </c>
      <c r="D530" s="4" t="str">
        <v>Sharon Butler</v>
      </c>
      <c r="E530" s="4" t="str">
        <v>P002</v>
      </c>
      <c r="F530" s="4" t="str">
        <v>Smartphone</v>
      </c>
      <c r="G530" s="4" t="str">
        <v>Electronics</v>
      </c>
      <c r="H530" s="4">
        <v>1</v>
      </c>
      <c r="I530" s="6">
        <v>699.99</v>
      </c>
      <c r="J530" s="4" t="str">
        <v>PayPal</v>
      </c>
      <c r="K530" s="4" t="str">
        <v>West</v>
      </c>
      <c r="L530" s="4" t="str">
        <v>Basic</v>
      </c>
      <c r="M530" s="5">
        <v>44934</v>
      </c>
      <c r="N530" s="6">
        <v>699.99</v>
      </c>
    </row>
    <row r="531" spans="1:14">
      <c r="A531" s="4" t="str">
        <v>TRX0047</v>
      </c>
      <c r="B531" s="5">
        <v>45711</v>
      </c>
      <c r="C531" s="4" t="str">
        <v>CUST042</v>
      </c>
      <c r="D531" s="4" t="str">
        <v>Ruth Brooks</v>
      </c>
      <c r="E531" s="4" t="str">
        <v>P002</v>
      </c>
      <c r="F531" s="4" t="str">
        <v>Smartphone</v>
      </c>
      <c r="G531" s="4" t="str">
        <v>Electronics</v>
      </c>
      <c r="H531" s="4">
        <v>1</v>
      </c>
      <c r="I531" s="6">
        <v>699.99</v>
      </c>
      <c r="J531" s="4" t="str">
        <v>Cash</v>
      </c>
      <c r="K531" s="4" t="str">
        <v>North</v>
      </c>
      <c r="L531" s="4" t="str">
        <v>Premium</v>
      </c>
      <c r="M531" s="5">
        <v>44583</v>
      </c>
      <c r="N531" s="6">
        <v>699.99</v>
      </c>
    </row>
    <row r="532" spans="1:14">
      <c r="A532" s="4" t="str">
        <v>TRX0200</v>
      </c>
      <c r="B532" s="5">
        <v>45711</v>
      </c>
      <c r="C532" s="4" t="str">
        <v>CUST037</v>
      </c>
      <c r="D532" s="4" t="str">
        <v>Arthur Edwards</v>
      </c>
      <c r="E532" s="4" t="str">
        <v>P008</v>
      </c>
      <c r="F532" s="4" t="str">
        <v>Bookshelf</v>
      </c>
      <c r="G532" s="4" t="str">
        <v>Furniture</v>
      </c>
      <c r="H532" s="4">
        <v>4</v>
      </c>
      <c r="I532" s="6">
        <v>149.99</v>
      </c>
      <c r="J532" s="4" t="str">
        <v>PayPal</v>
      </c>
      <c r="K532" s="4" t="str">
        <v>North</v>
      </c>
      <c r="L532" s="4" t="str">
        <v>Premium</v>
      </c>
      <c r="M532" s="5">
        <v>44412</v>
      </c>
      <c r="N532" s="6">
        <v>599.96</v>
      </c>
    </row>
    <row r="533" spans="1:14">
      <c r="A533" s="4" t="str">
        <v>TRX0062</v>
      </c>
      <c r="B533" s="5">
        <v>45711</v>
      </c>
      <c r="C533" s="4" t="str">
        <v>CUST016</v>
      </c>
      <c r="D533" s="4" t="str">
        <v>Elizabeth Hall</v>
      </c>
      <c r="E533" s="4" t="str">
        <v>P010</v>
      </c>
      <c r="F533" s="4" t="str">
        <v>Keyboard</v>
      </c>
      <c r="G533" s="4" t="str">
        <v>Electronics</v>
      </c>
      <c r="H533" s="4">
        <v>5</v>
      </c>
      <c r="I533" s="6">
        <v>89.99</v>
      </c>
      <c r="J533" s="4" t="str">
        <v>PayPal</v>
      </c>
      <c r="K533" s="4" t="str">
        <v>West</v>
      </c>
      <c r="L533" s="4" t="str">
        <v>Premium</v>
      </c>
      <c r="M533" s="5">
        <v>45140</v>
      </c>
      <c r="N533" s="6">
        <v>449.95</v>
      </c>
    </row>
    <row r="534" spans="1:14">
      <c r="A534" s="4" t="str">
        <v>TRX0182</v>
      </c>
      <c r="B534" s="5">
        <v>45712</v>
      </c>
      <c r="C534" s="4" t="str">
        <v>CUST031</v>
      </c>
      <c r="D534" s="4" t="str">
        <v>Steven Turner</v>
      </c>
      <c r="E534" s="4" t="str">
        <v>P006</v>
      </c>
      <c r="F534" s="4" t="str">
        <v>Office Chair</v>
      </c>
      <c r="G534" s="4" t="str">
        <v>Furniture</v>
      </c>
      <c r="H534" s="4">
        <v>2</v>
      </c>
      <c r="I534" s="6">
        <v>199.99</v>
      </c>
      <c r="J534" s="4" t="str">
        <v>Cash</v>
      </c>
      <c r="K534" s="4" t="str">
        <v>Central</v>
      </c>
      <c r="L534" s="4" t="str">
        <v>Premium</v>
      </c>
      <c r="M534" s="5">
        <v>44573</v>
      </c>
      <c r="N534" s="6">
        <v>399.98</v>
      </c>
    </row>
    <row r="535" spans="1:14">
      <c r="A535" s="4" t="str">
        <v>TRX0229</v>
      </c>
      <c r="B535" s="5">
        <v>45715</v>
      </c>
      <c r="C535" s="4" t="str">
        <v>CUST015</v>
      </c>
      <c r="D535" s="4" t="str">
        <v>Richard Lee</v>
      </c>
      <c r="E535" s="4" t="str">
        <v>P005</v>
      </c>
      <c r="F535" s="4" t="str">
        <v>Blender</v>
      </c>
      <c r="G535" s="4" t="str">
        <v>Appliances</v>
      </c>
      <c r="H535" s="4">
        <v>4</v>
      </c>
      <c r="I535" s="6">
        <v>59.99</v>
      </c>
      <c r="J535" s="4" t="str">
        <v>Cash</v>
      </c>
      <c r="K535" s="4" t="str">
        <v>West</v>
      </c>
      <c r="L535" s="4" t="str">
        <v>Standard</v>
      </c>
      <c r="M535" s="5">
        <v>45070</v>
      </c>
      <c r="N535" s="6">
        <v>239.96</v>
      </c>
    </row>
    <row r="536" spans="1:14">
      <c r="A536" s="4" t="str">
        <v>TRX0048</v>
      </c>
      <c r="B536" s="5">
        <v>45715</v>
      </c>
      <c r="C536" s="4" t="str">
        <v>CUST048</v>
      </c>
      <c r="D536" s="4" t="str">
        <v>Virginia Sanders</v>
      </c>
      <c r="E536" s="4" t="str">
        <v>P007</v>
      </c>
      <c r="F536" s="4" t="str">
        <v>Desk</v>
      </c>
      <c r="G536" s="4" t="str">
        <v>Furniture</v>
      </c>
      <c r="H536" s="4">
        <v>2</v>
      </c>
      <c r="I536" s="6">
        <v>299.99</v>
      </c>
      <c r="J536" s="4" t="str">
        <v>PayPal</v>
      </c>
      <c r="K536" s="4" t="str">
        <v>South</v>
      </c>
      <c r="L536" s="4" t="str">
        <v>Basic</v>
      </c>
      <c r="M536" s="5">
        <v>44576</v>
      </c>
      <c r="N536" s="6">
        <v>599.98</v>
      </c>
    </row>
    <row r="537" spans="1:14">
      <c r="A537" s="4" t="str">
        <v>TRX0227</v>
      </c>
      <c r="B537" s="5">
        <v>45718</v>
      </c>
      <c r="C537" s="4" t="str">
        <v>CUST017</v>
      </c>
      <c r="D537" s="4" t="str">
        <v>Charles Allen</v>
      </c>
      <c r="E537" s="4" t="str">
        <v>P008</v>
      </c>
      <c r="F537" s="4" t="str">
        <v>Bookshelf</v>
      </c>
      <c r="G537" s="4" t="str">
        <v>Furniture</v>
      </c>
      <c r="H537" s="4">
        <v>2</v>
      </c>
      <c r="I537" s="6">
        <v>149.99</v>
      </c>
      <c r="J537" s="4" t="str">
        <v>Cash</v>
      </c>
      <c r="K537" s="4" t="str">
        <v>Central</v>
      </c>
      <c r="L537" s="4" t="str">
        <v>Basic</v>
      </c>
      <c r="M537" s="5">
        <v>45068</v>
      </c>
      <c r="N537" s="6">
        <v>299.98</v>
      </c>
    </row>
    <row r="538" spans="1:14">
      <c r="A538" s="4" t="str">
        <v>TRX0226</v>
      </c>
      <c r="B538" s="5">
        <v>45720</v>
      </c>
      <c r="C538" s="4" t="str">
        <v>CUST039</v>
      </c>
      <c r="D538" s="4" t="str">
        <v>Lawrence Reed</v>
      </c>
      <c r="E538" s="4" t="str">
        <v>P002</v>
      </c>
      <c r="F538" s="4" t="str">
        <v>Smartphone</v>
      </c>
      <c r="G538" s="4" t="str">
        <v>Electronics</v>
      </c>
      <c r="H538" s="4">
        <v>5</v>
      </c>
      <c r="I538" s="6">
        <v>699.99</v>
      </c>
      <c r="J538" s="4" t="str">
        <v>Debit Card</v>
      </c>
      <c r="K538" s="4" t="str">
        <v>East</v>
      </c>
      <c r="L538" s="4" t="str">
        <v>Premium</v>
      </c>
      <c r="M538" s="5">
        <v>45161</v>
      </c>
      <c r="N538" s="6">
        <v>3499.95</v>
      </c>
    </row>
    <row r="539" spans="1:14">
      <c r="A539" s="4" t="str">
        <v>TRX0053</v>
      </c>
      <c r="B539" s="5">
        <v>45721</v>
      </c>
      <c r="C539" s="4" t="str">
        <v>CUST043</v>
      </c>
      <c r="D539" s="4" t="str">
        <v>Dennis Gray</v>
      </c>
      <c r="E539" s="4" t="str">
        <v>P005</v>
      </c>
      <c r="F539" s="4" t="str">
        <v>Blender</v>
      </c>
      <c r="G539" s="4" t="str">
        <v>Appliances</v>
      </c>
      <c r="H539" s="4">
        <v>5</v>
      </c>
      <c r="I539" s="6">
        <v>59.99</v>
      </c>
      <c r="J539" s="4" t="str">
        <v>Cash</v>
      </c>
      <c r="K539" s="4" t="str">
        <v>West</v>
      </c>
      <c r="L539" s="4" t="str">
        <v>Premium</v>
      </c>
      <c r="M539" s="5">
        <v>45291</v>
      </c>
      <c r="N539" s="6">
        <v>299.95</v>
      </c>
    </row>
    <row r="540" spans="1:14">
      <c r="A540" s="4" t="str">
        <v>TRX0233</v>
      </c>
      <c r="B540" s="5">
        <v>45723</v>
      </c>
      <c r="C540" s="4" t="str">
        <v>CUST023</v>
      </c>
      <c r="D540" s="4" t="str">
        <v>Paul Baker</v>
      </c>
      <c r="E540" s="4" t="str">
        <v>P010</v>
      </c>
      <c r="F540" s="4" t="str">
        <v>Keyboard</v>
      </c>
      <c r="G540" s="4" t="str">
        <v>Electronics</v>
      </c>
      <c r="H540" s="4">
        <v>2</v>
      </c>
      <c r="I540" s="6">
        <v>89.99</v>
      </c>
      <c r="J540" s="4" t="str">
        <v>Credit Card</v>
      </c>
      <c r="K540" s="4" t="str">
        <v>West</v>
      </c>
      <c r="L540" s="4" t="str">
        <v>Premium</v>
      </c>
      <c r="M540" s="5">
        <v>45295</v>
      </c>
      <c r="N540" s="6">
        <v>179.98</v>
      </c>
    </row>
    <row r="541" spans="1:14">
      <c r="A541" s="4" t="str">
        <v>TRX0175</v>
      </c>
      <c r="B541" s="5">
        <v>45723</v>
      </c>
      <c r="C541" s="4" t="str">
        <v>CUST030</v>
      </c>
      <c r="D541" s="4" t="str">
        <v>Helen Roberts</v>
      </c>
      <c r="E541" s="4" t="str">
        <v>P009</v>
      </c>
      <c r="F541" s="4" t="str">
        <v>Monitor</v>
      </c>
      <c r="G541" s="4" t="str">
        <v>Electronics</v>
      </c>
      <c r="H541" s="4">
        <v>5</v>
      </c>
      <c r="I541" s="6">
        <v>249.99</v>
      </c>
      <c r="J541" s="4" t="str">
        <v>Cash</v>
      </c>
      <c r="K541" s="4" t="str">
        <v>East</v>
      </c>
      <c r="L541" s="4" t="str">
        <v>Standard</v>
      </c>
      <c r="M541" s="5">
        <v>44540</v>
      </c>
      <c r="N541" s="6">
        <v>1249.95</v>
      </c>
    </row>
    <row r="542" spans="1:14">
      <c r="A542" s="4" t="str">
        <v>TRX0186</v>
      </c>
      <c r="B542" s="5">
        <v>45724</v>
      </c>
      <c r="C542" s="4" t="str">
        <v>CUST039</v>
      </c>
      <c r="D542" s="4" t="str">
        <v>Lawrence Reed</v>
      </c>
      <c r="E542" s="4" t="str">
        <v>P008</v>
      </c>
      <c r="F542" s="4" t="str">
        <v>Bookshelf</v>
      </c>
      <c r="G542" s="4" t="str">
        <v>Furniture</v>
      </c>
      <c r="H542" s="4">
        <v>2</v>
      </c>
      <c r="I542" s="6">
        <v>149.99</v>
      </c>
      <c r="J542" s="4" t="str">
        <v>PayPal</v>
      </c>
      <c r="K542" s="4" t="str">
        <v>Central</v>
      </c>
      <c r="L542" s="4" t="str">
        <v>Premium</v>
      </c>
      <c r="M542" s="5">
        <v>44632</v>
      </c>
      <c r="N542" s="6">
        <v>299.98</v>
      </c>
    </row>
    <row r="543" spans="1:14">
      <c r="A543" s="4" t="str">
        <v>TRX0016</v>
      </c>
      <c r="B543" s="5">
        <v>45724</v>
      </c>
      <c r="C543" s="4" t="str">
        <v>CUST035</v>
      </c>
      <c r="D543" s="4" t="str">
        <v>Harry Morgan</v>
      </c>
      <c r="E543" s="4" t="str">
        <v>P001</v>
      </c>
      <c r="F543" s="4" t="str">
        <v>Laptop</v>
      </c>
      <c r="G543" s="4" t="str">
        <v>Electronics</v>
      </c>
      <c r="H543" s="4">
        <v>5</v>
      </c>
      <c r="I543" s="6">
        <v>899.99</v>
      </c>
      <c r="J543" s="4" t="str">
        <v>PayPal</v>
      </c>
      <c r="K543" s="4" t="str">
        <v>East</v>
      </c>
      <c r="L543" s="4" t="str">
        <v>Premium</v>
      </c>
      <c r="M543" s="5">
        <v>45389</v>
      </c>
      <c r="N543" s="6">
        <v>4499.95</v>
      </c>
    </row>
    <row r="544" spans="1:14">
      <c r="A544" s="4" t="str">
        <v>TRX0199</v>
      </c>
      <c r="B544" s="5">
        <v>45724</v>
      </c>
      <c r="C544" s="4" t="str">
        <v>CUST017</v>
      </c>
      <c r="D544" s="4" t="str">
        <v>Charles Allen</v>
      </c>
      <c r="E544" s="4" t="str">
        <v>P008</v>
      </c>
      <c r="F544" s="4" t="str">
        <v>Bookshelf</v>
      </c>
      <c r="G544" s="4" t="str">
        <v>Furniture</v>
      </c>
      <c r="H544" s="4">
        <v>4</v>
      </c>
      <c r="I544" s="6">
        <v>149.99</v>
      </c>
      <c r="J544" s="4" t="str">
        <v>Cash</v>
      </c>
      <c r="K544" s="4" t="str">
        <v>Central</v>
      </c>
      <c r="L544" s="4" t="str">
        <v>Standard</v>
      </c>
      <c r="M544" s="5">
        <v>45263</v>
      </c>
      <c r="N544" s="6">
        <v>599.96</v>
      </c>
    </row>
    <row r="545" spans="1:14">
      <c r="A545" s="4" t="str">
        <v>TRX0038</v>
      </c>
      <c r="B545" s="5">
        <v>45726</v>
      </c>
      <c r="C545" s="4" t="str">
        <v>CUST035</v>
      </c>
      <c r="D545" s="4" t="str">
        <v>Harry Morgan</v>
      </c>
      <c r="E545" s="4" t="str">
        <v>P009</v>
      </c>
      <c r="F545" s="4" t="str">
        <v>Monitor</v>
      </c>
      <c r="G545" s="4" t="str">
        <v>Electronics</v>
      </c>
      <c r="H545" s="4">
        <v>1</v>
      </c>
      <c r="I545" s="6">
        <v>249.99</v>
      </c>
      <c r="J545" s="4" t="str">
        <v>Cash</v>
      </c>
      <c r="K545" s="4" t="str">
        <v>North</v>
      </c>
      <c r="L545" s="4" t="str">
        <v>Standard</v>
      </c>
      <c r="M545" s="5">
        <v>45117</v>
      </c>
      <c r="N545" s="6">
        <v>249.99</v>
      </c>
    </row>
    <row r="546" spans="1:14">
      <c r="A546" s="4" t="str">
        <v>TRX0014</v>
      </c>
      <c r="B546" s="5">
        <v>45734</v>
      </c>
      <c r="C546" s="4" t="str">
        <v>CUST033</v>
      </c>
      <c r="D546" s="4" t="str">
        <v>Frank Torres</v>
      </c>
      <c r="E546" s="4" t="str">
        <v>P005</v>
      </c>
      <c r="F546" s="4" t="str">
        <v>Blender</v>
      </c>
      <c r="G546" s="4" t="str">
        <v>Appliances</v>
      </c>
      <c r="H546" s="4">
        <v>2</v>
      </c>
      <c r="I546" s="6">
        <v>59.99</v>
      </c>
      <c r="J546" s="4" t="str">
        <v>Credit Card</v>
      </c>
      <c r="K546" s="4" t="str">
        <v>West</v>
      </c>
      <c r="L546" s="4" t="str">
        <v>Basic</v>
      </c>
      <c r="M546" s="5">
        <v>45193</v>
      </c>
      <c r="N546" s="6">
        <v>119.98</v>
      </c>
    </row>
    <row r="547" spans="1:14">
      <c r="A547" s="4" t="str">
        <v>TRX0003</v>
      </c>
      <c r="B547" s="5">
        <v>45737</v>
      </c>
      <c r="C547" s="4" t="str">
        <v>CUST002</v>
      </c>
      <c r="D547" s="4" t="str">
        <v>Emma Wilson</v>
      </c>
      <c r="E547" s="4" t="str">
        <v>P008</v>
      </c>
      <c r="F547" s="4" t="str">
        <v>Bookshelf</v>
      </c>
      <c r="G547" s="4" t="str">
        <v>Furniture</v>
      </c>
      <c r="H547" s="4">
        <v>2</v>
      </c>
      <c r="I547" s="6">
        <v>149.99</v>
      </c>
      <c r="J547" s="4" t="str">
        <v>Cash</v>
      </c>
      <c r="K547" s="4" t="str">
        <v>West</v>
      </c>
      <c r="L547" s="4" t="str">
        <v>Premium</v>
      </c>
      <c r="M547" s="5">
        <v>45233</v>
      </c>
      <c r="N547" s="6">
        <v>299.98</v>
      </c>
    </row>
    <row r="548" spans="1:14">
      <c r="A548" s="4" t="str">
        <v>TRX0124</v>
      </c>
      <c r="B548" s="5">
        <v>45737</v>
      </c>
      <c r="C548" s="4" t="str">
        <v>CUST040</v>
      </c>
      <c r="D548" s="4" t="str">
        <v>Sharon Butler</v>
      </c>
      <c r="E548" s="4" t="str">
        <v>P001</v>
      </c>
      <c r="F548" s="4" t="str">
        <v>Laptop</v>
      </c>
      <c r="G548" s="4" t="str">
        <v>Electronics</v>
      </c>
      <c r="H548" s="4">
        <v>3</v>
      </c>
      <c r="I548" s="6">
        <v>899.99</v>
      </c>
      <c r="J548" s="4" t="str">
        <v>Debit Card</v>
      </c>
      <c r="K548" s="4" t="str">
        <v>North</v>
      </c>
      <c r="L548" s="4" t="str">
        <v>Premium</v>
      </c>
      <c r="M548" s="5">
        <v>44876</v>
      </c>
      <c r="N548" s="6">
        <v>2699.97</v>
      </c>
    </row>
    <row r="549" spans="1:14">
      <c r="A549" s="4" t="str">
        <v>TRX0013</v>
      </c>
      <c r="B549" s="5">
        <v>45737</v>
      </c>
      <c r="C549" s="4" t="str">
        <v>CUST024</v>
      </c>
      <c r="D549" s="4" t="str">
        <v>Dorothy Nelson</v>
      </c>
      <c r="E549" s="4" t="str">
        <v>P001</v>
      </c>
      <c r="F549" s="4" t="str">
        <v>Laptop</v>
      </c>
      <c r="G549" s="4" t="str">
        <v>Electronics</v>
      </c>
      <c r="H549" s="4">
        <v>3</v>
      </c>
      <c r="I549" s="6">
        <v>899.99</v>
      </c>
      <c r="J549" s="4" t="str">
        <v>PayPal</v>
      </c>
      <c r="K549" s="4" t="str">
        <v>North</v>
      </c>
      <c r="L549" s="4" t="str">
        <v>Basic</v>
      </c>
      <c r="M549" s="5">
        <v>44975</v>
      </c>
      <c r="N549" s="6">
        <v>2699.97</v>
      </c>
    </row>
    <row r="550" spans="1:14">
      <c r="A550" s="4" t="str">
        <v>TRX0019</v>
      </c>
      <c r="B550" s="5">
        <v>45739</v>
      </c>
      <c r="C550" s="4" t="str">
        <v>CUST023</v>
      </c>
      <c r="D550" s="4" t="str">
        <v>Paul Baker</v>
      </c>
      <c r="E550" s="4" t="str">
        <v>P007</v>
      </c>
      <c r="F550" s="4" t="str">
        <v>Desk</v>
      </c>
      <c r="G550" s="4" t="str">
        <v>Furniture</v>
      </c>
      <c r="H550" s="4">
        <v>3</v>
      </c>
      <c r="I550" s="6">
        <v>299.99</v>
      </c>
      <c r="J550" s="4" t="str">
        <v>Credit Card</v>
      </c>
      <c r="K550" s="4" t="str">
        <v>West</v>
      </c>
      <c r="L550" s="4" t="str">
        <v>Premium</v>
      </c>
      <c r="M550" s="5">
        <v>45234</v>
      </c>
      <c r="N550" s="6">
        <v>899.97</v>
      </c>
    </row>
    <row r="551" spans="1:14">
      <c r="A551" s="4" t="str">
        <v>TRX0050</v>
      </c>
      <c r="B551" s="5">
        <v>45740</v>
      </c>
      <c r="C551" s="4" t="str">
        <v>CUST001</v>
      </c>
      <c r="D551" s="4" t="str">
        <v>John Smith</v>
      </c>
      <c r="E551" s="4" t="str">
        <v>P008</v>
      </c>
      <c r="F551" s="4" t="str">
        <v>Bookshelf</v>
      </c>
      <c r="G551" s="4" t="str">
        <v>Furniture</v>
      </c>
      <c r="H551" s="4">
        <v>4</v>
      </c>
      <c r="I551" s="6">
        <v>149.99</v>
      </c>
      <c r="J551" s="4" t="str">
        <v>PayPal</v>
      </c>
      <c r="K551" s="4" t="str">
        <v>West</v>
      </c>
      <c r="L551" s="4" t="str">
        <v>Standard</v>
      </c>
      <c r="M551" s="5">
        <v>44560</v>
      </c>
      <c r="N551" s="6">
        <v>599.96</v>
      </c>
    </row>
    <row r="552" spans="1:14">
      <c r="A552" s="4" t="str">
        <v>TRX0152</v>
      </c>
      <c r="B552" s="5">
        <v>45743</v>
      </c>
      <c r="C552" s="4" t="str">
        <v>CUST044</v>
      </c>
      <c r="D552" s="4" t="str">
        <v>Cynthia Price</v>
      </c>
      <c r="E552" s="4" t="str">
        <v>P004</v>
      </c>
      <c r="F552" s="4" t="str">
        <v>Coffee Maker</v>
      </c>
      <c r="G552" s="4" t="str">
        <v>Appliances</v>
      </c>
      <c r="H552" s="4">
        <v>4</v>
      </c>
      <c r="I552" s="6">
        <v>79.989999999999995</v>
      </c>
      <c r="J552" s="4" t="str">
        <v>Credit Card</v>
      </c>
      <c r="K552" s="4" t="str">
        <v>Central</v>
      </c>
      <c r="L552" s="4" t="str">
        <v>Basic</v>
      </c>
      <c r="M552" s="5">
        <v>45288</v>
      </c>
      <c r="N552" s="6">
        <v>319.95999999999998</v>
      </c>
    </row>
    <row r="553" spans="1:14">
      <c r="A553" s="4" t="str">
        <v>TRX0213</v>
      </c>
      <c r="B553" s="5">
        <v>45745</v>
      </c>
      <c r="C553" s="4" t="str">
        <v>CUST020</v>
      </c>
      <c r="D553" s="4" t="str">
        <v>Margaret Wright</v>
      </c>
      <c r="E553" s="4" t="str">
        <v>P010</v>
      </c>
      <c r="F553" s="4" t="str">
        <v>Keyboard</v>
      </c>
      <c r="G553" s="4" t="str">
        <v>Electronics</v>
      </c>
      <c r="H553" s="4">
        <v>5</v>
      </c>
      <c r="I553" s="6">
        <v>89.99</v>
      </c>
      <c r="J553" s="4" t="str">
        <v>PayPal</v>
      </c>
      <c r="K553" s="4" t="str">
        <v>South</v>
      </c>
      <c r="L553" s="4" t="str">
        <v>Basic</v>
      </c>
      <c r="M553" s="5">
        <v>44704</v>
      </c>
      <c r="N553" s="6">
        <v>449.95</v>
      </c>
    </row>
    <row r="554" spans="1:14">
      <c r="A554" s="4" t="str">
        <v>TRX0197</v>
      </c>
      <c r="B554" s="5">
        <v>45746</v>
      </c>
      <c r="C554" s="4" t="str">
        <v>CUST048</v>
      </c>
      <c r="D554" s="4" t="str">
        <v>Virginia Sanders</v>
      </c>
      <c r="E554" s="4" t="str">
        <v>P008</v>
      </c>
      <c r="F554" s="4" t="str">
        <v>Bookshelf</v>
      </c>
      <c r="G554" s="4" t="str">
        <v>Furniture</v>
      </c>
      <c r="H554" s="4">
        <v>3</v>
      </c>
      <c r="I554" s="6">
        <v>149.99</v>
      </c>
      <c r="J554" s="4" t="str">
        <v>PayPal</v>
      </c>
      <c r="K554" s="4" t="str">
        <v>Central</v>
      </c>
      <c r="L554" s="4" t="str">
        <v>Standard</v>
      </c>
      <c r="M554" s="5">
        <v>45171</v>
      </c>
      <c r="N554" s="6">
        <v>449.97</v>
      </c>
    </row>
    <row r="555" spans="1:14">
      <c r="A555" s="4" t="str">
        <v>TRX0250</v>
      </c>
      <c r="B555" s="5">
        <v>45746</v>
      </c>
      <c r="C555" s="4" t="str">
        <v>CUST026</v>
      </c>
      <c r="D555" s="4" t="str">
        <v>Karen Hill</v>
      </c>
      <c r="E555" s="4" t="str">
        <v>P010</v>
      </c>
      <c r="F555" s="4" t="str">
        <v>Keyboard</v>
      </c>
      <c r="G555" s="4" t="str">
        <v>Electronics</v>
      </c>
      <c r="H555" s="4">
        <v>2</v>
      </c>
      <c r="I555" s="6">
        <v>89.99</v>
      </c>
      <c r="J555" s="4" t="str">
        <v>Debit Card</v>
      </c>
      <c r="K555" s="4" t="str">
        <v>West</v>
      </c>
      <c r="L555" s="4" t="str">
        <v>Premium</v>
      </c>
      <c r="M555" s="5">
        <v>44522</v>
      </c>
      <c r="N555" s="6">
        <v>179.98</v>
      </c>
    </row>
    <row r="556" spans="1:14">
      <c r="A556" s="4" t="str">
        <v>TRX0068</v>
      </c>
      <c r="B556" s="5">
        <v>45748</v>
      </c>
      <c r="C556" s="4" t="str">
        <v>CUST044</v>
      </c>
      <c r="D556" s="4" t="str">
        <v>Cynthia Price</v>
      </c>
      <c r="E556" s="4" t="str">
        <v>P002</v>
      </c>
      <c r="F556" s="4" t="str">
        <v>Smartphone</v>
      </c>
      <c r="G556" s="4" t="str">
        <v>Electronics</v>
      </c>
      <c r="H556" s="4">
        <v>2</v>
      </c>
      <c r="I556" s="6">
        <v>699.99</v>
      </c>
      <c r="J556" s="4" t="str">
        <v>PayPal</v>
      </c>
      <c r="K556" s="4" t="str">
        <v>North</v>
      </c>
      <c r="L556" s="4" t="str">
        <v>Standard</v>
      </c>
      <c r="M556" s="5">
        <v>44618</v>
      </c>
      <c r="N556" s="6">
        <v>1399.98</v>
      </c>
    </row>
    <row r="557" spans="1:14">
      <c r="A557" s="4" t="str">
        <v>TRX0144</v>
      </c>
      <c r="B557" s="5">
        <v>45749</v>
      </c>
      <c r="C557" s="4" t="str">
        <v>CUST029</v>
      </c>
      <c r="D557" s="4" t="str">
        <v>Edward Mitchell</v>
      </c>
      <c r="E557" s="4" t="str">
        <v>P001</v>
      </c>
      <c r="F557" s="4" t="str">
        <v>Laptop</v>
      </c>
      <c r="G557" s="4" t="str">
        <v>Electronics</v>
      </c>
      <c r="H557" s="4">
        <v>3</v>
      </c>
      <c r="I557" s="6">
        <v>899.99</v>
      </c>
      <c r="J557" s="4" t="str">
        <v>Cash</v>
      </c>
      <c r="K557" s="4" t="str">
        <v>Central</v>
      </c>
      <c r="L557" s="4" t="str">
        <v>Standard</v>
      </c>
      <c r="M557" s="5">
        <v>44953</v>
      </c>
      <c r="N557" s="6">
        <v>2699.97</v>
      </c>
    </row>
    <row r="558" spans="1:14">
      <c r="A558" s="4" t="str">
        <v>TRX0039</v>
      </c>
      <c r="B558" s="5">
        <v>45755</v>
      </c>
      <c r="C558" s="4" t="str">
        <v>CUST048</v>
      </c>
      <c r="D558" s="4" t="str">
        <v>Virginia Sanders</v>
      </c>
      <c r="E558" s="4" t="str">
        <v>P004</v>
      </c>
      <c r="F558" s="4" t="str">
        <v>Coffee Maker</v>
      </c>
      <c r="G558" s="4" t="str">
        <v>Appliances</v>
      </c>
      <c r="H558" s="4">
        <v>3</v>
      </c>
      <c r="I558" s="6">
        <v>79.989999999999995</v>
      </c>
      <c r="J558" s="4" t="str">
        <v>Credit Card</v>
      </c>
      <c r="K558" s="4" t="str">
        <v>North</v>
      </c>
      <c r="L558" s="4" t="str">
        <v>Basic</v>
      </c>
      <c r="M558" s="5">
        <v>44511</v>
      </c>
      <c r="N558" s="6">
        <v>239.97</v>
      </c>
    </row>
    <row r="559" spans="1:14">
      <c r="A559" s="4" t="str">
        <v>TRX0116</v>
      </c>
      <c r="B559" s="5">
        <v>45756</v>
      </c>
      <c r="C559" s="4" t="str">
        <v>CUST009</v>
      </c>
      <c r="D559" s="4" t="str">
        <v>Robert Thomas</v>
      </c>
      <c r="E559" s="4" t="str">
        <v>P010</v>
      </c>
      <c r="F559" s="4" t="str">
        <v>Keyboard</v>
      </c>
      <c r="G559" s="4" t="str">
        <v>Electronics</v>
      </c>
      <c r="H559" s="4">
        <v>1</v>
      </c>
      <c r="I559" s="6">
        <v>89.99</v>
      </c>
      <c r="J559" s="4" t="str">
        <v>Debit Card</v>
      </c>
      <c r="K559" s="4" t="str">
        <v>East</v>
      </c>
      <c r="L559" s="4" t="str">
        <v>Basic</v>
      </c>
      <c r="M559" s="5">
        <v>45346</v>
      </c>
      <c r="N559" s="6">
        <v>89.99</v>
      </c>
    </row>
    <row r="560" spans="1:14">
      <c r="A560" s="4" t="str">
        <v>TRX0120</v>
      </c>
      <c r="B560" s="5">
        <v>45758</v>
      </c>
      <c r="C560" s="4" t="str">
        <v>CUST045</v>
      </c>
      <c r="D560" s="4" t="str">
        <v>Douglas Watson</v>
      </c>
      <c r="E560" s="4" t="str">
        <v>P002</v>
      </c>
      <c r="F560" s="4" t="str">
        <v>Smartphone</v>
      </c>
      <c r="G560" s="4" t="str">
        <v>Electronics</v>
      </c>
      <c r="H560" s="4">
        <v>3</v>
      </c>
      <c r="I560" s="6">
        <v>699.99</v>
      </c>
      <c r="J560" s="4" t="str">
        <v>PayPal</v>
      </c>
      <c r="K560" s="4" t="str">
        <v>North</v>
      </c>
      <c r="L560" s="4" t="str">
        <v>Basic</v>
      </c>
      <c r="M560" s="5">
        <v>44909</v>
      </c>
      <c r="N560" s="6">
        <v>2099.9699999999998</v>
      </c>
    </row>
    <row r="561" spans="1:14">
      <c r="A561" s="4" t="str">
        <v>TRX0103</v>
      </c>
      <c r="B561" s="5">
        <v>45758</v>
      </c>
      <c r="C561" s="4" t="str">
        <v>CUST039</v>
      </c>
      <c r="D561" s="4" t="str">
        <v>Lawrence Reed</v>
      </c>
      <c r="E561" s="4" t="str">
        <v>P010</v>
      </c>
      <c r="F561" s="4" t="str">
        <v>Keyboard</v>
      </c>
      <c r="G561" s="4" t="str">
        <v>Electronics</v>
      </c>
      <c r="H561" s="4">
        <v>2</v>
      </c>
      <c r="I561" s="6">
        <v>89.99</v>
      </c>
      <c r="J561" s="4" t="str">
        <v>Debit Card</v>
      </c>
      <c r="K561" s="4" t="str">
        <v>East</v>
      </c>
      <c r="L561" s="4" t="str">
        <v>Basic</v>
      </c>
      <c r="M561" s="5">
        <v>45088</v>
      </c>
      <c r="N561" s="6">
        <v>179.98</v>
      </c>
    </row>
    <row r="562" spans="1:14">
      <c r="A562" s="4" t="str">
        <v>TRX0064</v>
      </c>
      <c r="B562" s="5">
        <v>45758</v>
      </c>
      <c r="C562" s="4" t="str">
        <v>CUST031</v>
      </c>
      <c r="D562" s="4" t="str">
        <v>Steven Turner</v>
      </c>
      <c r="E562" s="4" t="str">
        <v>P010</v>
      </c>
      <c r="F562" s="4" t="str">
        <v>Keyboard</v>
      </c>
      <c r="G562" s="4" t="str">
        <v>Electronics</v>
      </c>
      <c r="H562" s="4">
        <v>3</v>
      </c>
      <c r="I562" s="6">
        <v>89.99</v>
      </c>
      <c r="J562" s="4" t="str">
        <v>Debit Card</v>
      </c>
      <c r="K562" s="4" t="str">
        <v>North</v>
      </c>
      <c r="L562" s="4" t="str">
        <v>Premium</v>
      </c>
      <c r="M562" s="5">
        <v>44878</v>
      </c>
      <c r="N562" s="6">
        <v>269.97000000000003</v>
      </c>
    </row>
  </sheetData>
  <conditionalFormatting sqref="G49:G61">
    <cfRule type="iconSet" priority="1">
      <iconSet iconSet="3Arrows">
        <cfvo type="num" val="-1"/>
        <cfvo type="num" val="-1E-4"/>
        <cfvo type="num" val="1E-4"/>
      </iconSet>
    </cfRule>
  </conditionalFormatting>
  <conditionalFormatting sqref="C67:C71">
    <cfRule type="dataBar" priority="2">
      <dataBar>
        <cfvo type="num" val="0"/>
        <cfvo type="max"/>
        <color rgb="FF2A9D8F"/>
      </dataBar>
    </cfRule>
  </conditionalFormatting>
  <conditionalFormatting sqref="B76:B78">
    <cfRule type="dataBar" priority="3">
      <dataBar>
        <cfvo type="num" val="0"/>
        <cfvo type="max"/>
        <color rgb="FF2A9D8F"/>
      </dataBar>
    </cfRule>
  </conditionalFormatting>
  <conditionalFormatting sqref="B81:B84">
    <cfRule type="dataBar" priority="4">
      <dataBar>
        <cfvo type="num" val="0"/>
        <cfvo type="max"/>
        <color rgb="FF2A9D8F"/>
      </dataBar>
    </cfRule>
  </conditionalFormatting>
  <conditionalFormatting sqref="B87:B89">
    <cfRule type="dataBar" priority="5">
      <dataBar>
        <cfvo type="num" val="0"/>
        <cfvo type="max"/>
        <color rgb="FF2A9D8F"/>
      </dataBar>
    </cfRule>
  </conditionalFormatting>
  <conditionalFormatting sqref="E93:E102">
    <cfRule type="iconSet" priority="6">
      <iconSet iconSet="3Arrows">
        <cfvo type="percentile" val="0"/>
        <cfvo type="percentile" val="33"/>
        <cfvo type="percentile" val="67"/>
      </iconSet>
    </cfRule>
  </conditionalFormatting>
  <conditionalFormatting sqref="F93:F102">
    <cfRule type="dataBar" priority="7">
      <dataBar>
        <cfvo type="num" val="0"/>
        <cfvo type="max"/>
        <color rgb="FF1F3A5F"/>
      </dataBar>
    </cfRule>
  </conditionalFormatting>
  <conditionalFormatting sqref="M112:M161">
    <cfRule type="expression" dxfId="7" priority="8">
      <formula>$M112="High-Value"</formula>
    </cfRule>
  </conditionalFormatting>
  <conditionalFormatting sqref="F112:F161">
    <cfRule type="dataBar" priority="9">
      <dataBar>
        <cfvo type="num" val="0"/>
        <cfvo type="max"/>
        <color rgb="FF2A9D8F"/>
      </dataBar>
    </cfRule>
  </conditionalFormatting>
  <conditionalFormatting sqref="C172:C181">
    <cfRule type="dataBar" priority="10">
      <dataBar>
        <cfvo type="num" val="0"/>
        <cfvo type="max"/>
        <color rgb="FF1F3A5F"/>
      </dataBar>
    </cfRule>
  </conditionalFormatting>
  <conditionalFormatting sqref="D189:D238">
    <cfRule type="expression" dxfId="6" priority="11">
      <formula>$D189&lt;&gt;""</formula>
    </cfRule>
  </conditionalFormatting>
  <conditionalFormatting sqref="B264:E264">
    <cfRule type="iconSet" priority="12">
      <iconSet iconSet="3Arrows">
        <cfvo type="num" val="-1"/>
        <cfvo type="num" val="-1E-4"/>
        <cfvo type="num" val="1E-4"/>
      </iconSet>
    </cfRule>
  </conditionalFormatting>
  <dataValidations count="3">
    <dataValidation type="list" sqref="B258" xr:uid="{00000000-0002-0000-0200-000000000000}">
      <formula1>"Worst,Base,Best"</formula1>
    </dataValidation>
    <dataValidation type="list" sqref="B308" xr:uid="{00000000-0002-0000-0200-000001000000}">
      <formula1>"All,Central,East,North,South,West"</formula1>
    </dataValidation>
    <dataValidation type="list" sqref="B309" xr:uid="{00000000-0002-0000-0200-000002000000}">
      <formula1>"All,Electronics,Furniture,Appliances"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9D8F"/>
    <pageSetUpPr fitToPage="1"/>
  </sheetPr>
  <dimension ref="A1:E75"/>
  <sheetViews>
    <sheetView showGridLines="0" topLeftCell="A4" workbookViewId="0">
      <selection activeCell="E16" sqref="E16"/>
    </sheetView>
  </sheetViews>
  <sheetFormatPr defaultRowHeight="15"/>
  <cols>
    <col min="1" max="1" width="22" customWidth="1"/>
    <col min="2" max="5" width="15" customWidth="1"/>
    <col min="6" max="6" width="3" customWidth="1"/>
  </cols>
  <sheetData>
    <row r="1" spans="1:5">
      <c r="A1" s="7" t="s">
        <v>570</v>
      </c>
    </row>
    <row r="2" spans="1:5">
      <c r="A2" s="8" t="s">
        <v>571</v>
      </c>
    </row>
    <row r="4" spans="1:5" ht="20.100000000000001" customHeight="1">
      <c r="A4" s="11" t="s">
        <v>572</v>
      </c>
      <c r="B4" s="12"/>
      <c r="C4" s="12"/>
      <c r="D4" s="12"/>
      <c r="E4" s="12"/>
    </row>
    <row r="5" spans="1:5" ht="30" customHeight="1">
      <c r="A5" s="13" t="s">
        <v>4</v>
      </c>
      <c r="B5" s="13" t="s">
        <v>5</v>
      </c>
      <c r="C5" s="13" t="s">
        <v>6</v>
      </c>
      <c r="D5" s="13" t="s">
        <v>7</v>
      </c>
      <c r="E5" s="13" t="s">
        <v>8</v>
      </c>
    </row>
    <row r="6" spans="1:5">
      <c r="A6" s="19" t="s">
        <v>9</v>
      </c>
      <c r="B6" s="60">
        <f>SUMIFS(rdAmt,rdReg,$A6,rdCat,B$5)</f>
        <v>1999.71</v>
      </c>
      <c r="C6" s="60">
        <f>SUMIFS(rdAmt,rdReg,$A6,rdCat,C$5)</f>
        <v>24889.329999999998</v>
      </c>
      <c r="D6" s="60">
        <f>SUMIFS(rdAmt,rdReg,$A6,rdCat,D$5)</f>
        <v>14399.300000000001</v>
      </c>
      <c r="E6" s="61">
        <f>SUM(B6:D6)</f>
        <v>41288.339999999997</v>
      </c>
    </row>
    <row r="7" spans="1:5">
      <c r="A7" s="19" t="s">
        <v>10</v>
      </c>
      <c r="B7" s="60">
        <f>SUMIFS(rdAmt,rdReg,$A7,rdCat,B$5)</f>
        <v>2239.67</v>
      </c>
      <c r="C7" s="60">
        <f>SUMIFS(rdAmt,rdReg,$A7,rdCat,C$5)</f>
        <v>50649.009999999995</v>
      </c>
      <c r="D7" s="60">
        <f>SUMIFS(rdAmt,rdReg,$A7,rdCat,D$5)</f>
        <v>6399.71</v>
      </c>
      <c r="E7" s="61">
        <f>SUM(B7:D7)</f>
        <v>59288.389999999992</v>
      </c>
    </row>
    <row r="8" spans="1:5">
      <c r="A8" s="19" t="s">
        <v>11</v>
      </c>
      <c r="B8" s="60">
        <f>SUMIFS(rdAmt,rdReg,$A8,rdCat,B$5)</f>
        <v>1119.8399999999999</v>
      </c>
      <c r="C8" s="60">
        <f>SUMIFS(rdAmt,rdReg,$A8,rdCat,C$5)</f>
        <v>39239.040000000015</v>
      </c>
      <c r="D8" s="60">
        <f>SUMIFS(rdAmt,rdReg,$A8,rdCat,D$5)</f>
        <v>10449.429999999997</v>
      </c>
      <c r="E8" s="61">
        <f>SUM(B8:D8)</f>
        <v>50808.310000000012</v>
      </c>
    </row>
    <row r="9" spans="1:5">
      <c r="A9" s="19" t="s">
        <v>12</v>
      </c>
      <c r="B9" s="60">
        <f>SUMIFS(rdAmt,rdReg,$A9,rdCat,B$5)</f>
        <v>1099.83</v>
      </c>
      <c r="C9" s="60">
        <f>SUMIFS(rdAmt,rdReg,$A9,rdCat,C$5)</f>
        <v>25549.32</v>
      </c>
      <c r="D9" s="60">
        <f>SUMIFS(rdAmt,rdReg,$A9,rdCat,D$5)</f>
        <v>9749.5999999999985</v>
      </c>
      <c r="E9" s="61">
        <f>SUM(B9:D9)</f>
        <v>36398.75</v>
      </c>
    </row>
    <row r="10" spans="1:5">
      <c r="A10" s="19" t="s">
        <v>13</v>
      </c>
      <c r="B10" s="60">
        <f>SUMIFS(rdAmt,rdReg,$A10,rdCat,B$5)</f>
        <v>1879.69</v>
      </c>
      <c r="C10" s="60">
        <f>SUMIFS(rdAmt,rdReg,$A10,rdCat,C$5)</f>
        <v>31429.35</v>
      </c>
      <c r="D10" s="60">
        <f>SUMIFS(rdAmt,rdReg,$A10,rdCat,D$5)</f>
        <v>8099.6400000000012</v>
      </c>
      <c r="E10" s="61">
        <f>SUM(B10:D10)</f>
        <v>41408.68</v>
      </c>
    </row>
    <row r="11" spans="1:5">
      <c r="A11" s="14" t="s">
        <v>8</v>
      </c>
      <c r="B11" s="61">
        <f>SUM(B6:B10)</f>
        <v>8338.74</v>
      </c>
      <c r="C11" s="61">
        <f>SUM(C6:C10)</f>
        <v>171756.05000000002</v>
      </c>
      <c r="D11" s="61">
        <f>SUM(D6:D10)</f>
        <v>49097.679999999993</v>
      </c>
      <c r="E11" s="61">
        <f>SUM(E6:E10)</f>
        <v>229192.46999999997</v>
      </c>
    </row>
    <row r="24" spans="1:5" ht="20.100000000000001" customHeight="1">
      <c r="A24" s="11" t="s">
        <v>573</v>
      </c>
      <c r="B24" s="12"/>
      <c r="C24" s="12"/>
      <c r="D24" s="12"/>
      <c r="E24" s="12"/>
    </row>
    <row r="25" spans="1:5" ht="30" customHeight="1">
      <c r="A25" s="13" t="s">
        <v>445</v>
      </c>
      <c r="B25" s="13" t="s">
        <v>448</v>
      </c>
      <c r="C25" s="13" t="s">
        <v>449</v>
      </c>
      <c r="D25" s="13" t="s">
        <v>574</v>
      </c>
    </row>
    <row r="26" spans="1:5">
      <c r="A26" s="19" t="str">
        <f>Analysis!A49</f>
        <v>Apr 2024</v>
      </c>
      <c r="B26" s="60">
        <f>SUMIFS(rdAmt,rdDate,"&gt;="&amp;Analysis!B49,rdDate,"&lt;="&amp;Analysis!C49)</f>
        <v>20919.330000000002</v>
      </c>
      <c r="C26" s="25">
        <f>COUNTIFS(rdDate,"&gt;="&amp;Analysis!B49,rdDate,"&lt;="&amp;Analysis!C49)</f>
        <v>21</v>
      </c>
      <c r="D26" s="25">
        <f>SUMIFS(rdQty,rdDate,"&gt;="&amp;Analysis!B49,rdDate,"&lt;="&amp;Analysis!C49)</f>
        <v>67</v>
      </c>
    </row>
    <row r="27" spans="1:5">
      <c r="A27" s="19" t="str">
        <f>Analysis!A50</f>
        <v>May 2024</v>
      </c>
      <c r="B27" s="60">
        <f>SUMIFS(rdAmt,rdDate,"&gt;="&amp;Analysis!B50,rdDate,"&lt;="&amp;Analysis!C50)</f>
        <v>17039.349999999999</v>
      </c>
      <c r="C27" s="25">
        <f>COUNTIFS(rdDate,"&gt;="&amp;Analysis!B50,rdDate,"&lt;="&amp;Analysis!C50)</f>
        <v>19</v>
      </c>
      <c r="D27" s="25">
        <f>SUMIFS(rdQty,rdDate,"&gt;="&amp;Analysis!B50,rdDate,"&lt;="&amp;Analysis!C50)</f>
        <v>65</v>
      </c>
    </row>
    <row r="28" spans="1:5">
      <c r="A28" s="19" t="str">
        <f>Analysis!A51</f>
        <v>Jun 2024</v>
      </c>
      <c r="B28" s="60">
        <f>SUMIFS(rdAmt,rdDate,"&gt;="&amp;Analysis!B51,rdDate,"&lt;="&amp;Analysis!C51)</f>
        <v>19299.45</v>
      </c>
      <c r="C28" s="25">
        <f>COUNTIFS(rdDate,"&gt;="&amp;Analysis!B51,rdDate,"&lt;="&amp;Analysis!C51)</f>
        <v>19</v>
      </c>
      <c r="D28" s="25">
        <f>SUMIFS(rdQty,rdDate,"&gt;="&amp;Analysis!B51,rdDate,"&lt;="&amp;Analysis!C51)</f>
        <v>55</v>
      </c>
    </row>
    <row r="29" spans="1:5">
      <c r="A29" s="19" t="str">
        <f>Analysis!A52</f>
        <v>Jul 2024</v>
      </c>
      <c r="B29" s="60">
        <f>SUMIFS(rdAmt,rdDate,"&gt;="&amp;Analysis!B52,rdDate,"&lt;="&amp;Analysis!C52)</f>
        <v>18479.399999999994</v>
      </c>
      <c r="C29" s="25">
        <f>COUNTIFS(rdDate,"&gt;="&amp;Analysis!B52,rdDate,"&lt;="&amp;Analysis!C52)</f>
        <v>24</v>
      </c>
      <c r="D29" s="25">
        <f>SUMIFS(rdQty,rdDate,"&gt;="&amp;Analysis!B52,rdDate,"&lt;="&amp;Analysis!C52)</f>
        <v>60</v>
      </c>
    </row>
    <row r="30" spans="1:5">
      <c r="A30" s="19" t="str">
        <f>Analysis!A53</f>
        <v>Aug 2024</v>
      </c>
      <c r="B30" s="60">
        <f>SUMIFS(rdAmt,rdDate,"&gt;="&amp;Analysis!B53,rdDate,"&lt;="&amp;Analysis!C53)</f>
        <v>15759.429999999997</v>
      </c>
      <c r="C30" s="25">
        <f>COUNTIFS(rdDate,"&gt;="&amp;Analysis!B53,rdDate,"&lt;="&amp;Analysis!C53)</f>
        <v>18</v>
      </c>
      <c r="D30" s="25">
        <f>SUMIFS(rdQty,rdDate,"&gt;="&amp;Analysis!B53,rdDate,"&lt;="&amp;Analysis!C53)</f>
        <v>57</v>
      </c>
    </row>
    <row r="31" spans="1:5">
      <c r="A31" s="19" t="str">
        <f>Analysis!A54</f>
        <v>Sep 2024</v>
      </c>
      <c r="B31" s="60">
        <f>SUMIFS(rdAmt,rdDate,"&gt;="&amp;Analysis!B54,rdDate,"&lt;="&amp;Analysis!C54)</f>
        <v>12989.509999999997</v>
      </c>
      <c r="C31" s="25">
        <f>COUNTIFS(rdDate,"&gt;="&amp;Analysis!B54,rdDate,"&lt;="&amp;Analysis!C54)</f>
        <v>19</v>
      </c>
      <c r="D31" s="25">
        <f>SUMIFS(rdQty,rdDate,"&gt;="&amp;Analysis!B54,rdDate,"&lt;="&amp;Analysis!C54)</f>
        <v>49</v>
      </c>
    </row>
    <row r="32" spans="1:5">
      <c r="A32" s="19" t="str">
        <f>Analysis!A55</f>
        <v>Oct 2024</v>
      </c>
      <c r="B32" s="60">
        <f>SUMIFS(rdAmt,rdDate,"&gt;="&amp;Analysis!B55,rdDate,"&lt;="&amp;Analysis!C55)</f>
        <v>20609.52</v>
      </c>
      <c r="C32" s="25">
        <f>COUNTIFS(rdDate,"&gt;="&amp;Analysis!B55,rdDate,"&lt;="&amp;Analysis!C55)</f>
        <v>16</v>
      </c>
      <c r="D32" s="25">
        <f>SUMIFS(rdQty,rdDate,"&gt;="&amp;Analysis!B55,rdDate,"&lt;="&amp;Analysis!C55)</f>
        <v>48</v>
      </c>
    </row>
    <row r="33" spans="1:5">
      <c r="A33" s="19" t="str">
        <f>Analysis!A56</f>
        <v>Nov 2024</v>
      </c>
      <c r="B33" s="60">
        <f>SUMIFS(rdAmt,rdDate,"&gt;="&amp;Analysis!B56,rdDate,"&lt;="&amp;Analysis!C56)</f>
        <v>12309.439999999999</v>
      </c>
      <c r="C33" s="25">
        <f>COUNTIFS(rdDate,"&gt;="&amp;Analysis!B56,rdDate,"&lt;="&amp;Analysis!C56)</f>
        <v>17</v>
      </c>
      <c r="D33" s="25">
        <f>SUMIFS(rdQty,rdDate,"&gt;="&amp;Analysis!B56,rdDate,"&lt;="&amp;Analysis!C56)</f>
        <v>56</v>
      </c>
    </row>
    <row r="34" spans="1:5">
      <c r="A34" s="19" t="str">
        <f>Analysis!A57</f>
        <v>Dec 2024</v>
      </c>
      <c r="B34" s="60">
        <f>SUMIFS(rdAmt,rdDate,"&gt;="&amp;Analysis!B57,rdDate,"&lt;="&amp;Analysis!C57)</f>
        <v>23039.3</v>
      </c>
      <c r="C34" s="25">
        <f>COUNTIFS(rdDate,"&gt;="&amp;Analysis!B57,rdDate,"&lt;="&amp;Analysis!C57)</f>
        <v>25</v>
      </c>
      <c r="D34" s="25">
        <f>SUMIFS(rdQty,rdDate,"&gt;="&amp;Analysis!B57,rdDate,"&lt;="&amp;Analysis!C57)</f>
        <v>70</v>
      </c>
    </row>
    <row r="35" spans="1:5">
      <c r="A35" s="19" t="str">
        <f>Analysis!A58</f>
        <v>Jan 2025</v>
      </c>
      <c r="B35" s="60">
        <f>SUMIFS(rdAmt,rdDate,"&gt;="&amp;Analysis!B58,rdDate,"&lt;="&amp;Analysis!C58)</f>
        <v>25799.15</v>
      </c>
      <c r="C35" s="25">
        <f>COUNTIFS(rdDate,"&gt;="&amp;Analysis!B58,rdDate,"&lt;="&amp;Analysis!C58)</f>
        <v>26</v>
      </c>
      <c r="D35" s="25">
        <f>SUMIFS(rdQty,rdDate,"&gt;="&amp;Analysis!B58,rdDate,"&lt;="&amp;Analysis!C58)</f>
        <v>85</v>
      </c>
    </row>
    <row r="36" spans="1:5">
      <c r="A36" s="19" t="str">
        <f>Analysis!A59</f>
        <v>Feb 2025</v>
      </c>
      <c r="B36" s="60">
        <f>SUMIFS(rdAmt,rdDate,"&gt;="&amp;Analysis!B59,rdDate,"&lt;="&amp;Analysis!C59)</f>
        <v>16069.379999999997</v>
      </c>
      <c r="C36" s="25">
        <f>COUNTIFS(rdDate,"&gt;="&amp;Analysis!B59,rdDate,"&lt;="&amp;Analysis!C59)</f>
        <v>20</v>
      </c>
      <c r="D36" s="25">
        <f>SUMIFS(rdQty,rdDate,"&gt;="&amp;Analysis!B59,rdDate,"&lt;="&amp;Analysis!C59)</f>
        <v>62</v>
      </c>
    </row>
    <row r="37" spans="1:5">
      <c r="A37" s="19" t="str">
        <f>Analysis!A60</f>
        <v>Mar 2025</v>
      </c>
      <c r="B37" s="60">
        <f>SUMIFS(rdAmt,rdDate,"&gt;="&amp;Analysis!B60,rdDate,"&lt;="&amp;Analysis!C60)</f>
        <v>19899.379999999997</v>
      </c>
      <c r="C37" s="25">
        <f>COUNTIFS(rdDate,"&gt;="&amp;Analysis!B60,rdDate,"&lt;="&amp;Analysis!C60)</f>
        <v>19</v>
      </c>
      <c r="D37" s="25">
        <f>SUMIFS(rdQty,rdDate,"&gt;="&amp;Analysis!B60,rdDate,"&lt;="&amp;Analysis!C60)</f>
        <v>62</v>
      </c>
    </row>
    <row r="38" spans="1:5">
      <c r="A38" s="19" t="str">
        <f>Analysis!A61</f>
        <v>Apr 2025</v>
      </c>
      <c r="B38" s="60">
        <f>SUMIFS(rdAmt,rdDate,"&gt;="&amp;Analysis!B61,rdDate,"&lt;="&amp;Analysis!C61)</f>
        <v>6979.829999999999</v>
      </c>
      <c r="C38" s="25">
        <f>COUNTIFS(rdDate,"&gt;="&amp;Analysis!B61,rdDate,"&lt;="&amp;Analysis!C61)</f>
        <v>7</v>
      </c>
      <c r="D38" s="25">
        <f>SUMIFS(rdQty,rdDate,"&gt;="&amp;Analysis!B61,rdDate,"&lt;="&amp;Analysis!C61)</f>
        <v>17</v>
      </c>
    </row>
    <row r="39" spans="1:5">
      <c r="A39" s="14" t="s">
        <v>8</v>
      </c>
      <c r="B39" s="61">
        <f>SUM(B26:B38)</f>
        <v>229192.46999999997</v>
      </c>
      <c r="C39" s="28">
        <f>SUM(C26:C38)</f>
        <v>250</v>
      </c>
      <c r="D39" s="28">
        <f>SUM(D26:D38)</f>
        <v>753</v>
      </c>
    </row>
    <row r="44" spans="1:5" ht="20.100000000000001" customHeight="1">
      <c r="A44" s="11" t="s">
        <v>575</v>
      </c>
      <c r="B44" s="12"/>
      <c r="C44" s="12"/>
      <c r="D44" s="12"/>
      <c r="E44" s="12"/>
    </row>
    <row r="45" spans="1:5" ht="30" customHeight="1">
      <c r="A45" s="13" t="s">
        <v>3</v>
      </c>
      <c r="B45" s="13" t="s">
        <v>448</v>
      </c>
      <c r="C45" s="13" t="s">
        <v>576</v>
      </c>
    </row>
    <row r="46" spans="1:5">
      <c r="A46" s="19" t="s">
        <v>6</v>
      </c>
      <c r="B46" s="60">
        <f>SUMIFS(rdAmt,rdCat,A46)</f>
        <v>171756.05000000013</v>
      </c>
      <c r="C46" s="30">
        <f>B46/SUM(B$46:B$48)</f>
        <v>0.74939656612627814</v>
      </c>
    </row>
    <row r="47" spans="1:5">
      <c r="A47" s="19" t="s">
        <v>7</v>
      </c>
      <c r="B47" s="60">
        <f>SUMIFS(rdAmt,rdCat,A47)</f>
        <v>49097.680000000015</v>
      </c>
      <c r="C47" s="30">
        <f>B47/SUM(B$46:B$48)</f>
        <v>0.214220301391228</v>
      </c>
    </row>
    <row r="48" spans="1:5">
      <c r="A48" s="19" t="s">
        <v>5</v>
      </c>
      <c r="B48" s="60">
        <f>SUMIFS(rdAmt,rdCat,A48)</f>
        <v>8338.7399999999961</v>
      </c>
      <c r="C48" s="30">
        <f>B48/SUM(B$46:B$48)</f>
        <v>3.6383132482493821E-2</v>
      </c>
    </row>
    <row r="49" spans="1:5">
      <c r="A49" s="14" t="s">
        <v>8</v>
      </c>
      <c r="B49" s="61">
        <f>SUM(B46:B48)</f>
        <v>229192.47000000015</v>
      </c>
      <c r="C49" s="32">
        <f>SUM(C46:C48)</f>
        <v>0.99999999999999989</v>
      </c>
    </row>
    <row r="64" spans="1:5" ht="20.100000000000001" customHeight="1">
      <c r="A64" s="11" t="s">
        <v>577</v>
      </c>
      <c r="B64" s="12"/>
      <c r="C64" s="12"/>
      <c r="D64" s="12"/>
      <c r="E64" s="12"/>
    </row>
    <row r="65" spans="1:3" ht="30" customHeight="1">
      <c r="A65" s="13" t="s">
        <v>491</v>
      </c>
      <c r="B65" s="13" t="s">
        <v>478</v>
      </c>
      <c r="C65" s="13" t="s">
        <v>576</v>
      </c>
    </row>
    <row r="66" spans="1:3">
      <c r="A66" s="19" t="str">
        <f>Analysis!B172</f>
        <v>Mark Carter</v>
      </c>
      <c r="B66" s="60">
        <f>Analysis!C172</f>
        <v>15659.65</v>
      </c>
      <c r="C66" s="30">
        <f>Analysis!D172</f>
        <v>6.8325324998678966E-2</v>
      </c>
    </row>
    <row r="67" spans="1:3">
      <c r="A67" s="19" t="str">
        <f>Analysis!B173</f>
        <v>Edward Mitchell</v>
      </c>
      <c r="B67" s="60">
        <f>Analysis!C173</f>
        <v>11919.769999999999</v>
      </c>
      <c r="C67" s="30">
        <f>Analysis!D173</f>
        <v>5.2007685941863543E-2</v>
      </c>
    </row>
    <row r="68" spans="1:3">
      <c r="A68" s="19" t="str">
        <f>Analysis!B174</f>
        <v>Barbara Young</v>
      </c>
      <c r="B68" s="60">
        <f>Analysis!C174</f>
        <v>10649.8</v>
      </c>
      <c r="C68" s="30">
        <f>Analysis!D174</f>
        <v>4.6466622572722327E-2</v>
      </c>
    </row>
    <row r="69" spans="1:3">
      <c r="A69" s="19" t="str">
        <f>Analysis!B175</f>
        <v>Patricia Moore</v>
      </c>
      <c r="B69" s="60">
        <f>Analysis!C175</f>
        <v>9799.73</v>
      </c>
      <c r="C69" s="30">
        <f>Analysis!D175</f>
        <v>4.2757643826605587E-2</v>
      </c>
    </row>
    <row r="70" spans="1:3">
      <c r="A70" s="19" t="str">
        <f>Analysis!B176</f>
        <v>Paul Baker</v>
      </c>
      <c r="B70" s="60">
        <f>Analysis!C176</f>
        <v>8309.739999999998</v>
      </c>
      <c r="C70" s="30">
        <f>Analysis!D176</f>
        <v>3.6256601274902212E-2</v>
      </c>
    </row>
    <row r="71" spans="1:3">
      <c r="A71" s="19" t="str">
        <f>Analysis!B177</f>
        <v>Dorothy Nelson</v>
      </c>
      <c r="B71" s="60">
        <f>Analysis!C177</f>
        <v>8269.7900000000009</v>
      </c>
      <c r="C71" s="30">
        <f>Analysis!D177</f>
        <v>3.6082293628582077E-2</v>
      </c>
    </row>
    <row r="72" spans="1:3">
      <c r="A72" s="19" t="str">
        <f>Analysis!B178</f>
        <v>Karen Hill</v>
      </c>
      <c r="B72" s="60">
        <f>Analysis!C178</f>
        <v>8009.7699999999995</v>
      </c>
      <c r="C72" s="30">
        <f>Analysis!D178</f>
        <v>3.4947788642445313E-2</v>
      </c>
    </row>
    <row r="73" spans="1:3">
      <c r="A73" s="19" t="str">
        <f>Analysis!B179</f>
        <v>Daniel King</v>
      </c>
      <c r="B73" s="60">
        <f>Analysis!C179</f>
        <v>7309.7999999999993</v>
      </c>
      <c r="C73" s="30">
        <f>Analysis!D179</f>
        <v>3.18937179742423E-2</v>
      </c>
    </row>
    <row r="74" spans="1:3">
      <c r="A74" s="19" t="str">
        <f>Analysis!B180</f>
        <v>Lawrence Reed</v>
      </c>
      <c r="B74" s="60">
        <f>Analysis!C180</f>
        <v>6989.7699999999986</v>
      </c>
      <c r="C74" s="30">
        <f>Analysis!D180</f>
        <v>3.0497380651292726E-2</v>
      </c>
    </row>
    <row r="75" spans="1:3">
      <c r="A75" s="19" t="str">
        <f>Analysis!B181</f>
        <v>Joseph Jackson</v>
      </c>
      <c r="B75" s="60">
        <f>Analysis!C181</f>
        <v>6949.84</v>
      </c>
      <c r="C75" s="30">
        <f>Analysis!D181</f>
        <v>3.0323160267874377E-2</v>
      </c>
    </row>
  </sheetData>
  <pageMargins left="0.75" right="0.75" top="1" bottom="1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9D8F"/>
    <pageSetUpPr fitToPage="1"/>
  </sheetPr>
  <dimension ref="A1:L131"/>
  <sheetViews>
    <sheetView showGridLines="0" workbookViewId="0">
      <selection activeCell="A7" sqref="A7:B7"/>
    </sheetView>
  </sheetViews>
  <sheetFormatPr defaultRowHeight="15"/>
  <cols>
    <col min="1" max="12" width="14" customWidth="1"/>
  </cols>
  <sheetData>
    <row r="1" spans="1:12" ht="32.1" customHeight="1">
      <c r="A1" s="62" t="s">
        <v>578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63" t="str">
        <f>"Customer transactions "&amp;TEXT(MIN(rdDate),"dd mmm yyyy")&amp;" – "&amp;TEXT(MAX(rdDate),"dd mmm yyyy")&amp;"   |   Region: "&amp;$B$4&amp;"   |   Category: "&amp;$D$4&amp;"   |   "&amp;TEXT($F$4,"dd mmm yy")&amp;" to "&amp;TEXT($H$4,"dd mmm yy")</f>
        <v>Customer transactions 11 Apr 2024 – 11 Apr 2025   |   Region: All   |   Category: All   |   01 Apr 24 to 30 Apr 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8" t="s">
        <v>579</v>
      </c>
    </row>
    <row r="4" spans="1:12" ht="21.95" customHeight="1">
      <c r="A4" s="64" t="s">
        <v>580</v>
      </c>
      <c r="B4" s="47" t="s">
        <v>567</v>
      </c>
      <c r="C4" s="64" t="s">
        <v>581</v>
      </c>
      <c r="D4" s="47" t="s">
        <v>567</v>
      </c>
      <c r="E4" s="64" t="s">
        <v>582</v>
      </c>
      <c r="F4" s="65">
        <v>45383</v>
      </c>
      <c r="G4" s="64" t="s">
        <v>583</v>
      </c>
      <c r="H4" s="65">
        <v>45777</v>
      </c>
    </row>
    <row r="6" spans="1:12">
      <c r="A6" s="73" t="s">
        <v>584</v>
      </c>
      <c r="B6" s="94"/>
      <c r="C6" s="73" t="s">
        <v>585</v>
      </c>
      <c r="D6" s="94"/>
      <c r="E6" s="73" t="s">
        <v>586</v>
      </c>
      <c r="F6" s="94"/>
      <c r="G6" s="73" t="s">
        <v>587</v>
      </c>
      <c r="H6" s="94"/>
      <c r="I6" s="73" t="s">
        <v>588</v>
      </c>
      <c r="J6" s="94"/>
      <c r="K6" s="73" t="s">
        <v>589</v>
      </c>
      <c r="L6" s="94"/>
    </row>
    <row r="7" spans="1:12" ht="33.950000000000003" customHeight="1">
      <c r="A7" s="77">
        <f>SUMIFS(rdAmt,rdReg,$B$54,rdCat,$B$55,rdDate,"&gt;="&amp;$F$4,rdDate,"&lt;="&amp;$H$4)</f>
        <v>229192.47000000032</v>
      </c>
      <c r="B7" s="94"/>
      <c r="C7" s="79">
        <f>COUNTIFS(rdReg,$B$54,rdCat,$B$55,rdDate,"&gt;="&amp;$F$4,rdDate,"&lt;="&amp;$H$4)</f>
        <v>250</v>
      </c>
      <c r="D7" s="94"/>
      <c r="E7" s="79">
        <f>SUMIFS(rdQty,rdReg,$B$54,rdCat,$B$55,rdDate,"&gt;="&amp;$F$4,rdDate,"&lt;="&amp;$H$4)</f>
        <v>753</v>
      </c>
      <c r="F7" s="94"/>
      <c r="G7" s="78">
        <f>IF(C7=0,0,A7/C7)</f>
        <v>916.76988000000131</v>
      </c>
      <c r="H7" s="94"/>
      <c r="I7" s="79">
        <f>SUMPRODUCT(--(COUNTIFS(rdCustID,Analysis!$A$112:$A$161,rdReg,$B$54,rdCat,$B$55,rdDate,"&gt;="&amp;$F$4,rdDate,"&lt;="&amp;$H$4)&gt;0))</f>
        <v>50</v>
      </c>
      <c r="J7" s="94"/>
      <c r="K7" s="84">
        <f>IF(C7=0,0,E7/C7)</f>
        <v>3.012</v>
      </c>
      <c r="L7" s="94"/>
    </row>
    <row r="8" spans="1:12">
      <c r="A8" s="82">
        <f>IF(Analysis!$B$21=0,0,A7/Analysis!$B$21)</f>
        <v>1</v>
      </c>
      <c r="B8" s="94"/>
      <c r="C8" s="83">
        <f>IF(Analysis!$B$22=0,0,C7/Analysis!$B$22)</f>
        <v>1</v>
      </c>
      <c r="D8" s="94"/>
      <c r="E8" s="76">
        <f>IF(Analysis!$B$23=0,0,E7/Analysis!$B$23)</f>
        <v>1</v>
      </c>
      <c r="F8" s="94"/>
      <c r="G8" s="74">
        <f>IF(Analysis!$B$24=0,0,G7/Analysis!$B$24-1)</f>
        <v>0</v>
      </c>
      <c r="H8" s="94"/>
      <c r="I8" s="81">
        <f>IF(Analysis!$B$25=0,0,I7/Analysis!$B$25)</f>
        <v>1</v>
      </c>
      <c r="J8" s="94"/>
      <c r="K8" s="74">
        <f>IF(Analysis!$B$23=0,0,K7/(Analysis!$B$23/Analysis!$B$22)-1)</f>
        <v>0</v>
      </c>
      <c r="L8" s="94"/>
    </row>
    <row r="9" spans="1:12">
      <c r="A9" s="8" t="s">
        <v>590</v>
      </c>
    </row>
    <row r="11" spans="1:12" ht="20.100000000000001" customHeight="1">
      <c r="A11" s="11" t="s">
        <v>591</v>
      </c>
      <c r="B11" s="12"/>
      <c r="C11" s="12"/>
      <c r="D11" s="12"/>
      <c r="G11" s="11" t="s">
        <v>592</v>
      </c>
      <c r="H11" s="12"/>
      <c r="I11" s="12"/>
      <c r="J11" s="12"/>
      <c r="K11" s="12"/>
      <c r="L11" s="12"/>
    </row>
    <row r="12" spans="1:12" ht="30" customHeight="1">
      <c r="A12" s="13" t="s">
        <v>4</v>
      </c>
      <c r="B12" s="13" t="s">
        <v>448</v>
      </c>
      <c r="C12" s="13" t="s">
        <v>576</v>
      </c>
      <c r="D12" s="13" t="s">
        <v>593</v>
      </c>
      <c r="G12" s="13" t="s">
        <v>458</v>
      </c>
      <c r="H12" s="80" t="s">
        <v>491</v>
      </c>
      <c r="I12" s="95"/>
      <c r="J12" s="96"/>
      <c r="K12" s="13" t="s">
        <v>594</v>
      </c>
      <c r="L12" s="13" t="s">
        <v>576</v>
      </c>
    </row>
    <row r="13" spans="1:12">
      <c r="A13" s="19" t="s">
        <v>9</v>
      </c>
      <c r="B13" s="60">
        <f>SUMIFS(rdAmt,rdReg,A13,rdCat,$B$55,rdDate,"&gt;="&amp;$F$4,rdDate,"&lt;="&amp;$H$4)</f>
        <v>41288.340000000018</v>
      </c>
      <c r="C13" s="30">
        <f>IF(SUM(B$13:B$17)=0,0,B13/SUM(B$13:B$17))</f>
        <v>0.18014701791904422</v>
      </c>
      <c r="D13" s="49">
        <f>IF(AVERAGE(B$13:B$17)=0,0,B13/AVERAGE(B$13:B$17)-1)</f>
        <v>-9.9264910404778917E-2</v>
      </c>
      <c r="G13" s="29">
        <v>1</v>
      </c>
      <c r="H13" s="75" t="str">
        <f>IF(K13=0,"",INDEX($B$82:$B$131,MATCH(LARGE($D$82:$D$131,G13),$D$82:$D$131,0)))</f>
        <v>Mark Carter</v>
      </c>
      <c r="I13" s="94"/>
      <c r="J13" s="94"/>
      <c r="K13" s="60">
        <f>ROUND(LARGE($D$82:$D$131,G13),2)</f>
        <v>15659.65</v>
      </c>
      <c r="L13" s="30">
        <f>IF($A$7=0,0,K13/$A$7)</f>
        <v>6.8325324998678966E-2</v>
      </c>
    </row>
    <row r="14" spans="1:12">
      <c r="A14" s="19" t="s">
        <v>10</v>
      </c>
      <c r="B14" s="60">
        <f>SUMIFS(rdAmt,rdReg,A14,rdCat,$B$55,rdDate,"&gt;="&amp;$F$4,rdDate,"&lt;="&amp;$H$4)</f>
        <v>59288.389999999992</v>
      </c>
      <c r="C14" s="30">
        <f>IF(SUM(B$13:B$17)=0,0,B14/SUM(B$13:B$17))</f>
        <v>0.25868384768487368</v>
      </c>
      <c r="D14" s="49">
        <f>IF(AVERAGE(B$13:B$17)=0,0,B14/AVERAGE(B$13:B$17)-1)</f>
        <v>0.29341923842436834</v>
      </c>
      <c r="G14" s="29">
        <v>2</v>
      </c>
      <c r="H14" s="75" t="str">
        <f>IF(K14=0,"",INDEX($B$82:$B$131,MATCH(LARGE($D$82:$D$131,G14),$D$82:$D$131,0)))</f>
        <v>Edward Mitchell</v>
      </c>
      <c r="I14" s="94"/>
      <c r="J14" s="94"/>
      <c r="K14" s="60">
        <f>ROUND(LARGE($D$82:$D$131,G14),2)</f>
        <v>11919.77</v>
      </c>
      <c r="L14" s="30">
        <f>IF($A$7=0,0,K14/$A$7)</f>
        <v>5.200768594186355E-2</v>
      </c>
    </row>
    <row r="15" spans="1:12">
      <c r="A15" s="19" t="s">
        <v>11</v>
      </c>
      <c r="B15" s="60">
        <f>SUMIFS(rdAmt,rdReg,A15,rdCat,$B$55,rdDate,"&gt;="&amp;$F$4,rdDate,"&lt;="&amp;$H$4)</f>
        <v>50808.310000000012</v>
      </c>
      <c r="C15" s="30">
        <f>IF(SUM(B$13:B$17)=0,0,B15/SUM(B$13:B$17))</f>
        <v>0.221684028275449</v>
      </c>
      <c r="D15" s="49">
        <f>IF(AVERAGE(B$13:B$17)=0,0,B15/AVERAGE(B$13:B$17)-1)</f>
        <v>0.10842014137724498</v>
      </c>
      <c r="G15" s="29">
        <v>3</v>
      </c>
      <c r="H15" s="75" t="str">
        <f>IF(K15=0,"",INDEX($B$82:$B$131,MATCH(LARGE($D$82:$D$131,G15),$D$82:$D$131,0)))</f>
        <v>Barbara Young</v>
      </c>
      <c r="I15" s="94"/>
      <c r="J15" s="94"/>
      <c r="K15" s="60">
        <f>ROUND(LARGE($D$82:$D$131,G15),2)</f>
        <v>10649.8</v>
      </c>
      <c r="L15" s="30">
        <f>IF($A$7=0,0,K15/$A$7)</f>
        <v>4.6466622572722327E-2</v>
      </c>
    </row>
    <row r="16" spans="1:12">
      <c r="A16" s="19" t="s">
        <v>12</v>
      </c>
      <c r="B16" s="60">
        <f>SUMIFS(rdAmt,rdReg,A16,rdCat,$B$55,rdDate,"&gt;="&amp;$F$4,rdDate,"&lt;="&amp;$H$4)</f>
        <v>36398.750000000007</v>
      </c>
      <c r="C16" s="30">
        <f>IF(SUM(B$13:B$17)=0,0,B16/SUM(B$13:B$17))</f>
        <v>0.1588130273215346</v>
      </c>
      <c r="D16" s="49">
        <f>IF(AVERAGE(B$13:B$17)=0,0,B16/AVERAGE(B$13:B$17)-1)</f>
        <v>-0.20593486339232703</v>
      </c>
      <c r="G16" s="29">
        <v>4</v>
      </c>
      <c r="H16" s="75" t="str">
        <f>IF(K16=0,"",INDEX($B$82:$B$131,MATCH(LARGE($D$82:$D$131,G16),$D$82:$D$131,0)))</f>
        <v>Patricia Moore</v>
      </c>
      <c r="I16" s="94"/>
      <c r="J16" s="94"/>
      <c r="K16" s="60">
        <f>ROUND(LARGE($D$82:$D$131,G16),2)</f>
        <v>9799.73</v>
      </c>
      <c r="L16" s="30">
        <f>IF($A$7=0,0,K16/$A$7)</f>
        <v>4.2757643826605587E-2</v>
      </c>
    </row>
    <row r="17" spans="1:12">
      <c r="A17" s="19" t="s">
        <v>13</v>
      </c>
      <c r="B17" s="60">
        <f>SUMIFS(rdAmt,rdReg,A17,rdCat,$B$55,rdDate,"&gt;="&amp;$F$4,rdDate,"&lt;="&amp;$H$4)</f>
        <v>41408.680000000015</v>
      </c>
      <c r="C17" s="30">
        <f>IF(SUM(B$13:B$17)=0,0,B17/SUM(B$13:B$17))</f>
        <v>0.18067207879909844</v>
      </c>
      <c r="D17" s="49">
        <f>IF(AVERAGE(B$13:B$17)=0,0,B17/AVERAGE(B$13:B$17)-1)</f>
        <v>-9.6639606004507828E-2</v>
      </c>
      <c r="G17" s="29">
        <v>5</v>
      </c>
      <c r="H17" s="75" t="str">
        <f>IF(K17=0,"",INDEX($B$82:$B$131,MATCH(LARGE($D$82:$D$131,G17),$D$82:$D$131,0)))</f>
        <v>Paul Baker</v>
      </c>
      <c r="I17" s="94"/>
      <c r="J17" s="94"/>
      <c r="K17" s="60">
        <f>ROUND(LARGE($D$82:$D$131,G17),2)</f>
        <v>8309.74</v>
      </c>
      <c r="L17" s="30">
        <f>IF($A$7=0,0,K17/$A$7)</f>
        <v>3.6256601274902218E-2</v>
      </c>
    </row>
    <row r="18" spans="1:12">
      <c r="A18" s="14" t="s">
        <v>453</v>
      </c>
      <c r="B18" s="61">
        <f>SUM(B13:B17)</f>
        <v>229192.47000000006</v>
      </c>
    </row>
    <row r="53" spans="1:12" ht="20.100000000000001" customHeight="1">
      <c r="A53" s="66" t="s">
        <v>595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1:12">
      <c r="A54" s="68" t="s">
        <v>596</v>
      </c>
      <c r="B54" s="19" t="str">
        <f>IF($B$4="All","*",$B$4)</f>
        <v>*</v>
      </c>
    </row>
    <row r="55" spans="1:12">
      <c r="A55" s="68" t="s">
        <v>597</v>
      </c>
      <c r="B55" s="19" t="str">
        <f>IF($D$4="All","*",$D$4)</f>
        <v>*</v>
      </c>
    </row>
    <row r="57" spans="1:12" ht="30" customHeight="1">
      <c r="A57" s="13" t="s">
        <v>445</v>
      </c>
      <c r="B57" s="13" t="s">
        <v>448</v>
      </c>
      <c r="D57" s="13" t="s">
        <v>3</v>
      </c>
      <c r="E57" s="13" t="s">
        <v>448</v>
      </c>
      <c r="G57" s="13" t="s">
        <v>463</v>
      </c>
      <c r="H57" s="13" t="s">
        <v>464</v>
      </c>
      <c r="I57" s="13" t="s">
        <v>574</v>
      </c>
      <c r="J57" s="13" t="s">
        <v>598</v>
      </c>
    </row>
    <row r="58" spans="1:12">
      <c r="A58" s="19" t="str">
        <f>Analysis!A49</f>
        <v>Apr 2024</v>
      </c>
      <c r="B58" s="60">
        <f>SUMIFS(rdAmt,rdReg,$B$54,rdCat,$B$55,rdDate,"&gt;="&amp;MAX(Analysis!B49,$F$4),rdDate,"&lt;="&amp;MIN(Analysis!C49,$H$4))</f>
        <v>20919.330000000002</v>
      </c>
      <c r="D58" s="19" t="s">
        <v>6</v>
      </c>
      <c r="E58" s="60">
        <f>SUMIFS(rdAmt,rdCat,D58,rdReg,$B$54,rdDate,"&gt;="&amp;$F$4,rdDate,"&lt;="&amp;$H$4)</f>
        <v>171756.05000000013</v>
      </c>
      <c r="G58" s="19" t="str">
        <f>Analysis!A93</f>
        <v>P001</v>
      </c>
      <c r="H58" s="19" t="str">
        <f>Analysis!B93</f>
        <v>Laptop</v>
      </c>
      <c r="I58" s="25">
        <f>SUMIFS(rdQty,rdProdID,G58,rdReg,$B$54,rdCat,$B$55,rdDate,"&gt;="&amp;$F$4,rdDate,"&lt;="&amp;$H$4)</f>
        <v>75</v>
      </c>
      <c r="J58" s="69">
        <f>I58+(100-ROWS(J$58:J58))/100000</f>
        <v>75.000990000000002</v>
      </c>
    </row>
    <row r="59" spans="1:12">
      <c r="A59" s="19" t="str">
        <f>Analysis!A50</f>
        <v>May 2024</v>
      </c>
      <c r="B59" s="60">
        <f>SUMIFS(rdAmt,rdReg,$B$54,rdCat,$B$55,rdDate,"&gt;="&amp;MAX(Analysis!B50,$F$4),rdDate,"&lt;="&amp;MIN(Analysis!C50,$H$4))</f>
        <v>17039.349999999999</v>
      </c>
      <c r="D59" s="19" t="s">
        <v>7</v>
      </c>
      <c r="E59" s="60">
        <f>SUMIFS(rdAmt,rdCat,D59,rdReg,$B$54,rdDate,"&gt;="&amp;$F$4,rdDate,"&lt;="&amp;$H$4)</f>
        <v>49097.680000000015</v>
      </c>
      <c r="G59" s="19" t="str">
        <f>Analysis!A94</f>
        <v>P002</v>
      </c>
      <c r="H59" s="19" t="str">
        <f>Analysis!B94</f>
        <v>Smartphone</v>
      </c>
      <c r="I59" s="25">
        <f>SUMIFS(rdQty,rdProdID,G59,rdReg,$B$54,rdCat,$B$55,rdDate,"&gt;="&amp;$F$4,rdDate,"&lt;="&amp;$H$4)</f>
        <v>96</v>
      </c>
      <c r="J59" s="69">
        <f>I59+(100-ROWS(J$58:J59))/100000</f>
        <v>96.000979999999998</v>
      </c>
    </row>
    <row r="60" spans="1:12">
      <c r="A60" s="19" t="str">
        <f>Analysis!A51</f>
        <v>Jun 2024</v>
      </c>
      <c r="B60" s="60">
        <f>SUMIFS(rdAmt,rdReg,$B$54,rdCat,$B$55,rdDate,"&gt;="&amp;MAX(Analysis!B51,$F$4),rdDate,"&lt;="&amp;MIN(Analysis!C51,$H$4))</f>
        <v>19299.45</v>
      </c>
      <c r="D60" s="19" t="s">
        <v>5</v>
      </c>
      <c r="E60" s="60">
        <f>SUMIFS(rdAmt,rdCat,D60,rdReg,$B$54,rdDate,"&gt;="&amp;$F$4,rdDate,"&lt;="&amp;$H$4)</f>
        <v>8338.7399999999961</v>
      </c>
      <c r="G60" s="19" t="str">
        <f>Analysis!A95</f>
        <v>P003</v>
      </c>
      <c r="H60" s="19" t="str">
        <f>Analysis!B95</f>
        <v>Headphones</v>
      </c>
      <c r="I60" s="25">
        <f>SUMIFS(rdQty,rdProdID,G60,rdReg,$B$54,rdCat,$B$55,rdDate,"&gt;="&amp;$F$4,rdDate,"&lt;="&amp;$H$4)</f>
        <v>47</v>
      </c>
      <c r="J60" s="69">
        <f>I60+(100-ROWS(J$58:J60))/100000</f>
        <v>47.000970000000002</v>
      </c>
    </row>
    <row r="61" spans="1:12">
      <c r="A61" s="19" t="str">
        <f>Analysis!A52</f>
        <v>Jul 2024</v>
      </c>
      <c r="B61" s="60">
        <f>SUMIFS(rdAmt,rdReg,$B$54,rdCat,$B$55,rdDate,"&gt;="&amp;MAX(Analysis!B52,$F$4),rdDate,"&lt;="&amp;MIN(Analysis!C52,$H$4))</f>
        <v>18479.399999999994</v>
      </c>
      <c r="G61" s="19" t="str">
        <f>Analysis!A96</f>
        <v>P004</v>
      </c>
      <c r="H61" s="19" t="str">
        <f>Analysis!B96</f>
        <v>Coffee Maker</v>
      </c>
      <c r="I61" s="25">
        <f>SUMIFS(rdQty,rdProdID,G61,rdReg,$B$54,rdCat,$B$55,rdDate,"&gt;="&amp;$F$4,rdDate,"&lt;="&amp;$H$4)</f>
        <v>39</v>
      </c>
      <c r="J61" s="69">
        <f>I61+(100-ROWS(J$58:J61))/100000</f>
        <v>39.000959999999999</v>
      </c>
    </row>
    <row r="62" spans="1:12">
      <c r="A62" s="19" t="str">
        <f>Analysis!A53</f>
        <v>Aug 2024</v>
      </c>
      <c r="B62" s="60">
        <f>SUMIFS(rdAmt,rdReg,$B$54,rdCat,$B$55,rdDate,"&gt;="&amp;MAX(Analysis!B53,$F$4),rdDate,"&lt;="&amp;MIN(Analysis!C53,$H$4))</f>
        <v>15759.429999999997</v>
      </c>
      <c r="G62" s="19" t="str">
        <f>Analysis!A97</f>
        <v>P005</v>
      </c>
      <c r="H62" s="19" t="str">
        <f>Analysis!B97</f>
        <v>Blender</v>
      </c>
      <c r="I62" s="25">
        <f>SUMIFS(rdQty,rdProdID,G62,rdReg,$B$54,rdCat,$B$55,rdDate,"&gt;="&amp;$F$4,rdDate,"&lt;="&amp;$H$4)</f>
        <v>87</v>
      </c>
      <c r="J62" s="69">
        <f>I62+(100-ROWS(J$58:J62))/100000</f>
        <v>87.000950000000003</v>
      </c>
    </row>
    <row r="63" spans="1:12">
      <c r="A63" s="19" t="str">
        <f>Analysis!A54</f>
        <v>Sep 2024</v>
      </c>
      <c r="B63" s="60">
        <f>SUMIFS(rdAmt,rdReg,$B$54,rdCat,$B$55,rdDate,"&gt;="&amp;MAX(Analysis!B54,$F$4),rdDate,"&lt;="&amp;MIN(Analysis!C54,$H$4))</f>
        <v>12989.509999999997</v>
      </c>
      <c r="G63" s="19" t="str">
        <f>Analysis!A98</f>
        <v>P006</v>
      </c>
      <c r="H63" s="19" t="str">
        <f>Analysis!B98</f>
        <v>Office Chair</v>
      </c>
      <c r="I63" s="25">
        <f>SUMIFS(rdQty,rdProdID,G63,rdReg,$B$54,rdCat,$B$55,rdDate,"&gt;="&amp;$F$4,rdDate,"&lt;="&amp;$H$4)</f>
        <v>52</v>
      </c>
      <c r="J63" s="69">
        <f>I63+(100-ROWS(J$58:J63))/100000</f>
        <v>52.00094</v>
      </c>
    </row>
    <row r="64" spans="1:12">
      <c r="A64" s="19" t="str">
        <f>Analysis!A55</f>
        <v>Oct 2024</v>
      </c>
      <c r="B64" s="60">
        <f>SUMIFS(rdAmt,rdReg,$B$54,rdCat,$B$55,rdDate,"&gt;="&amp;MAX(Analysis!B55,$F$4),rdDate,"&lt;="&amp;MIN(Analysis!C55,$H$4))</f>
        <v>20609.52</v>
      </c>
      <c r="G64" s="19" t="str">
        <f>Analysis!A99</f>
        <v>P007</v>
      </c>
      <c r="H64" s="19" t="str">
        <f>Analysis!B99</f>
        <v>Desk</v>
      </c>
      <c r="I64" s="25">
        <f>SUMIFS(rdQty,rdProdID,G64,rdReg,$B$54,rdCat,$B$55,rdDate,"&gt;="&amp;$F$4,rdDate,"&lt;="&amp;$H$4)</f>
        <v>78</v>
      </c>
      <c r="J64" s="69">
        <f>I64+(100-ROWS(J$58:J64))/100000</f>
        <v>78.000929999999997</v>
      </c>
    </row>
    <row r="65" spans="1:10">
      <c r="A65" s="19" t="str">
        <f>Analysis!A56</f>
        <v>Nov 2024</v>
      </c>
      <c r="B65" s="60">
        <f>SUMIFS(rdAmt,rdReg,$B$54,rdCat,$B$55,rdDate,"&gt;="&amp;MAX(Analysis!B56,$F$4),rdDate,"&lt;="&amp;MIN(Analysis!C56,$H$4))</f>
        <v>12309.439999999999</v>
      </c>
      <c r="G65" s="19" t="str">
        <f>Analysis!A100</f>
        <v>P008</v>
      </c>
      <c r="H65" s="19" t="str">
        <f>Analysis!B100</f>
        <v>Bookshelf</v>
      </c>
      <c r="I65" s="25">
        <f>SUMIFS(rdQty,rdProdID,G65,rdReg,$B$54,rdCat,$B$55,rdDate,"&gt;="&amp;$F$4,rdDate,"&lt;="&amp;$H$4)</f>
        <v>102</v>
      </c>
      <c r="J65" s="69">
        <f>I65+(100-ROWS(J$58:J65))/100000</f>
        <v>102.00091999999999</v>
      </c>
    </row>
    <row r="66" spans="1:10">
      <c r="A66" s="19" t="str">
        <f>Analysis!A57</f>
        <v>Dec 2024</v>
      </c>
      <c r="B66" s="60">
        <f>SUMIFS(rdAmt,rdReg,$B$54,rdCat,$B$55,rdDate,"&gt;="&amp;MAX(Analysis!B57,$F$4),rdDate,"&lt;="&amp;MIN(Analysis!C57,$H$4))</f>
        <v>23039.3</v>
      </c>
      <c r="G66" s="19" t="str">
        <f>Analysis!A101</f>
        <v>P009</v>
      </c>
      <c r="H66" s="19" t="str">
        <f>Analysis!B101</f>
        <v>Monitor</v>
      </c>
      <c r="I66" s="25">
        <f>SUMIFS(rdQty,rdProdID,G66,rdReg,$B$54,rdCat,$B$55,rdDate,"&gt;="&amp;$F$4,rdDate,"&lt;="&amp;$H$4)</f>
        <v>88</v>
      </c>
      <c r="J66" s="69">
        <f>I66+(100-ROWS(J$58:J66))/100000</f>
        <v>88.000910000000005</v>
      </c>
    </row>
    <row r="67" spans="1:10">
      <c r="A67" s="19" t="str">
        <f>Analysis!A58</f>
        <v>Jan 2025</v>
      </c>
      <c r="B67" s="60">
        <f>SUMIFS(rdAmt,rdReg,$B$54,rdCat,$B$55,rdDate,"&gt;="&amp;MAX(Analysis!B58,$F$4),rdDate,"&lt;="&amp;MIN(Analysis!C58,$H$4))</f>
        <v>25799.15</v>
      </c>
      <c r="G67" s="19" t="str">
        <f>Analysis!A102</f>
        <v>P010</v>
      </c>
      <c r="H67" s="19" t="str">
        <f>Analysis!B102</f>
        <v>Keyboard</v>
      </c>
      <c r="I67" s="25">
        <f>SUMIFS(rdQty,rdProdID,G67,rdReg,$B$54,rdCat,$B$55,rdDate,"&gt;="&amp;$F$4,rdDate,"&lt;="&amp;$H$4)</f>
        <v>89</v>
      </c>
      <c r="J67" s="69">
        <f>I67+(100-ROWS(J$58:J67))/100000</f>
        <v>89.000900000000001</v>
      </c>
    </row>
    <row r="68" spans="1:10">
      <c r="A68" s="19" t="str">
        <f>Analysis!A59</f>
        <v>Feb 2025</v>
      </c>
      <c r="B68" s="60">
        <f>SUMIFS(rdAmt,rdReg,$B$54,rdCat,$B$55,rdDate,"&gt;="&amp;MAX(Analysis!B59,$F$4),rdDate,"&lt;="&amp;MIN(Analysis!C59,$H$4))</f>
        <v>16069.379999999997</v>
      </c>
    </row>
    <row r="69" spans="1:10">
      <c r="A69" s="19" t="str">
        <f>Analysis!A60</f>
        <v>Mar 2025</v>
      </c>
      <c r="B69" s="60">
        <f>SUMIFS(rdAmt,rdReg,$B$54,rdCat,$B$55,rdDate,"&gt;="&amp;MAX(Analysis!B60,$F$4),rdDate,"&lt;="&amp;MIN(Analysis!C60,$H$4))</f>
        <v>19899.379999999997</v>
      </c>
    </row>
    <row r="70" spans="1:10">
      <c r="A70" s="19" t="str">
        <f>Analysis!A61</f>
        <v>Apr 2025</v>
      </c>
      <c r="B70" s="60">
        <f>SUMIFS(rdAmt,rdReg,$B$54,rdCat,$B$55,rdDate,"&gt;="&amp;MAX(Analysis!B61,$F$4),rdDate,"&lt;="&amp;MIN(Analysis!C61,$H$4))</f>
        <v>6979.829999999999</v>
      </c>
    </row>
    <row r="74" spans="1:10" ht="30" customHeight="1">
      <c r="A74" s="13" t="s">
        <v>599</v>
      </c>
      <c r="B74" s="13" t="s">
        <v>574</v>
      </c>
    </row>
    <row r="75" spans="1:10">
      <c r="A75" s="19" t="str">
        <f>INDEX($H$58:$H$67,MATCH(LARGE($J$58:$J$67,1),$J$58:$J$67,0))</f>
        <v>Bookshelf</v>
      </c>
      <c r="B75" s="25">
        <f>INDEX($I$58:$I$67,MATCH(LARGE($J$58:$J$67,1),$J$58:$J$67,0))</f>
        <v>102</v>
      </c>
    </row>
    <row r="76" spans="1:10">
      <c r="A76" s="19" t="str">
        <f>INDEX($H$58:$H$67,MATCH(LARGE($J$58:$J$67,2),$J$58:$J$67,0))</f>
        <v>Smartphone</v>
      </c>
      <c r="B76" s="25">
        <f>INDEX($I$58:$I$67,MATCH(LARGE($J$58:$J$67,2),$J$58:$J$67,0))</f>
        <v>96</v>
      </c>
    </row>
    <row r="77" spans="1:10">
      <c r="A77" s="19" t="str">
        <f>INDEX($H$58:$H$67,MATCH(LARGE($J$58:$J$67,3),$J$58:$J$67,0))</f>
        <v>Keyboard</v>
      </c>
      <c r="B77" s="25">
        <f>INDEX($I$58:$I$67,MATCH(LARGE($J$58:$J$67,3),$J$58:$J$67,0))</f>
        <v>89</v>
      </c>
    </row>
    <row r="78" spans="1:10">
      <c r="A78" s="19" t="str">
        <f>INDEX($H$58:$H$67,MATCH(LARGE($J$58:$J$67,4),$J$58:$J$67,0))</f>
        <v>Monitor</v>
      </c>
      <c r="B78" s="25">
        <f>INDEX($I$58:$I$67,MATCH(LARGE($J$58:$J$67,4),$J$58:$J$67,0))</f>
        <v>88</v>
      </c>
    </row>
    <row r="79" spans="1:10">
      <c r="A79" s="19" t="str">
        <f>INDEX($H$58:$H$67,MATCH(LARGE($J$58:$J$67,5),$J$58:$J$67,0))</f>
        <v>Blender</v>
      </c>
      <c r="B79" s="25">
        <f>INDEX($I$58:$I$67,MATCH(LARGE($J$58:$J$67,5),$J$58:$J$67,0))</f>
        <v>87</v>
      </c>
    </row>
    <row r="81" spans="1:4" ht="30" customHeight="1">
      <c r="A81" s="13" t="s">
        <v>474</v>
      </c>
      <c r="B81" s="13" t="s">
        <v>491</v>
      </c>
      <c r="C81" s="13" t="s">
        <v>449</v>
      </c>
      <c r="D81" s="13" t="s">
        <v>600</v>
      </c>
    </row>
    <row r="82" spans="1:4">
      <c r="A82" s="19" t="str">
        <f>Analysis!A112</f>
        <v>CUST001</v>
      </c>
      <c r="B82" s="19" t="str">
        <f>Analysis!B112</f>
        <v>John Smith</v>
      </c>
      <c r="C82" s="25">
        <f>COUNTIFS(rdCustID,A82,rdReg,$B$54,rdCat,$B$55,rdDate,"&gt;="&amp;$F$4,rdDate,"&lt;="&amp;$H$4)</f>
        <v>1</v>
      </c>
      <c r="D82" s="70">
        <f>SUMIFS(rdAmt,rdCustID,A82,rdReg,$B$54,rdCat,$B$55,rdDate,"&gt;="&amp;$F$4,rdDate,"&lt;="&amp;$H$4)+(100-ROWS(D$82:D82))/10000000</f>
        <v>599.96000990000005</v>
      </c>
    </row>
    <row r="83" spans="1:4">
      <c r="A83" s="19" t="str">
        <f>Analysis!A113</f>
        <v>CUST002</v>
      </c>
      <c r="B83" s="19" t="str">
        <f>Analysis!B113</f>
        <v>Emma Wilson</v>
      </c>
      <c r="C83" s="25">
        <f>COUNTIFS(rdCustID,A83,rdReg,$B$54,rdCat,$B$55,rdDate,"&gt;="&amp;$F$4,rdDate,"&lt;="&amp;$H$4)</f>
        <v>5</v>
      </c>
      <c r="D83" s="70">
        <f>SUMIFS(rdAmt,rdCustID,A83,rdReg,$B$54,rdCat,$B$55,rdDate,"&gt;="&amp;$F$4,rdDate,"&lt;="&amp;$H$4)+(100-ROWS(D$82:D83))/10000000</f>
        <v>1229.8800098000002</v>
      </c>
    </row>
    <row r="84" spans="1:4">
      <c r="A84" s="19" t="str">
        <f>Analysis!A114</f>
        <v>CUST003</v>
      </c>
      <c r="B84" s="19" t="str">
        <f>Analysis!B114</f>
        <v>Michael Brown</v>
      </c>
      <c r="C84" s="25">
        <f>COUNTIFS(rdCustID,A84,rdReg,$B$54,rdCat,$B$55,rdDate,"&gt;="&amp;$F$4,rdDate,"&lt;="&amp;$H$4)</f>
        <v>9</v>
      </c>
      <c r="D84" s="70">
        <f>SUMIFS(rdAmt,rdCustID,A84,rdReg,$B$54,rdCat,$B$55,rdDate,"&gt;="&amp;$F$4,rdDate,"&lt;="&amp;$H$4)+(100-ROWS(D$82:D84))/10000000</f>
        <v>6169.7400097000009</v>
      </c>
    </row>
    <row r="85" spans="1:4">
      <c r="A85" s="19" t="str">
        <f>Analysis!A115</f>
        <v>CUST004</v>
      </c>
      <c r="B85" s="19" t="str">
        <f>Analysis!B115</f>
        <v>Sarah Davis</v>
      </c>
      <c r="C85" s="25">
        <f>COUNTIFS(rdCustID,A85,rdReg,$B$54,rdCat,$B$55,rdDate,"&gt;="&amp;$F$4,rdDate,"&lt;="&amp;$H$4)</f>
        <v>5</v>
      </c>
      <c r="D85" s="70">
        <f>SUMIFS(rdAmt,rdCustID,A85,rdReg,$B$54,rdCat,$B$55,rdDate,"&gt;="&amp;$F$4,rdDate,"&lt;="&amp;$H$4)+(100-ROWS(D$82:D85))/10000000</f>
        <v>5499.8100095999998</v>
      </c>
    </row>
    <row r="86" spans="1:4">
      <c r="A86" s="19" t="str">
        <f>Analysis!A116</f>
        <v>CUST005</v>
      </c>
      <c r="B86" s="19" t="str">
        <f>Analysis!B116</f>
        <v>James Johnson</v>
      </c>
      <c r="C86" s="25">
        <f>COUNTIFS(rdCustID,A86,rdReg,$B$54,rdCat,$B$55,rdDate,"&gt;="&amp;$F$4,rdDate,"&lt;="&amp;$H$4)</f>
        <v>1</v>
      </c>
      <c r="D86" s="70">
        <f>SUMIFS(rdAmt,rdCustID,A86,rdReg,$B$54,rdCat,$B$55,rdDate,"&gt;="&amp;$F$4,rdDate,"&lt;="&amp;$H$4)+(100-ROWS(D$82:D86))/10000000</f>
        <v>179.9700095</v>
      </c>
    </row>
    <row r="87" spans="1:4">
      <c r="A87" s="19" t="str">
        <f>Analysis!A117</f>
        <v>CUST006</v>
      </c>
      <c r="B87" s="19" t="str">
        <f>Analysis!B117</f>
        <v>Lisa Anderson</v>
      </c>
      <c r="C87" s="25">
        <f>COUNTIFS(rdCustID,A87,rdReg,$B$54,rdCat,$B$55,rdDate,"&gt;="&amp;$F$4,rdDate,"&lt;="&amp;$H$4)</f>
        <v>5</v>
      </c>
      <c r="D87" s="70">
        <f>SUMIFS(rdAmt,rdCustID,A87,rdReg,$B$54,rdCat,$B$55,rdDate,"&gt;="&amp;$F$4,rdDate,"&lt;="&amp;$H$4)+(100-ROWS(D$82:D87))/10000000</f>
        <v>2039.8000094000001</v>
      </c>
    </row>
    <row r="88" spans="1:4">
      <c r="A88" s="19" t="str">
        <f>Analysis!A118</f>
        <v>CUST007</v>
      </c>
      <c r="B88" s="19" t="str">
        <f>Analysis!B118</f>
        <v>David Martinez</v>
      </c>
      <c r="C88" s="25">
        <f>COUNTIFS(rdCustID,A88,rdReg,$B$54,rdCat,$B$55,rdDate,"&gt;="&amp;$F$4,rdDate,"&lt;="&amp;$H$4)</f>
        <v>6</v>
      </c>
      <c r="D88" s="70">
        <f>SUMIFS(rdAmt,rdCustID,A88,rdReg,$B$54,rdCat,$B$55,rdDate,"&gt;="&amp;$F$4,rdDate,"&lt;="&amp;$H$4)+(100-ROWS(D$82:D88))/10000000</f>
        <v>1809.8400093</v>
      </c>
    </row>
    <row r="89" spans="1:4">
      <c r="A89" s="19" t="str">
        <f>Analysis!A119</f>
        <v>CUST008</v>
      </c>
      <c r="B89" s="19" t="str">
        <f>Analysis!B119</f>
        <v>Jennifer Taylor</v>
      </c>
      <c r="C89" s="25">
        <f>COUNTIFS(rdCustID,A89,rdReg,$B$54,rdCat,$B$55,rdDate,"&gt;="&amp;$F$4,rdDate,"&lt;="&amp;$H$4)</f>
        <v>4</v>
      </c>
      <c r="D89" s="70">
        <f>SUMIFS(rdAmt,rdCustID,A89,rdReg,$B$54,rdCat,$B$55,rdDate,"&gt;="&amp;$F$4,rdDate,"&lt;="&amp;$H$4)+(100-ROWS(D$82:D89))/10000000</f>
        <v>4739.8500092000004</v>
      </c>
    </row>
    <row r="90" spans="1:4">
      <c r="A90" s="19" t="str">
        <f>Analysis!A120</f>
        <v>CUST009</v>
      </c>
      <c r="B90" s="19" t="str">
        <f>Analysis!B120</f>
        <v>Robert Thomas</v>
      </c>
      <c r="C90" s="25">
        <f>COUNTIFS(rdCustID,A90,rdReg,$B$54,rdCat,$B$55,rdDate,"&gt;="&amp;$F$4,rdDate,"&lt;="&amp;$H$4)</f>
        <v>5</v>
      </c>
      <c r="D90" s="70">
        <f>SUMIFS(rdAmt,rdCustID,A90,rdReg,$B$54,rdCat,$B$55,rdDate,"&gt;="&amp;$F$4,rdDate,"&lt;="&amp;$H$4)+(100-ROWS(D$82:D90))/10000000</f>
        <v>3509.9000090999998</v>
      </c>
    </row>
    <row r="91" spans="1:4">
      <c r="A91" s="19" t="str">
        <f>Analysis!A121</f>
        <v>CUST010</v>
      </c>
      <c r="B91" s="19" t="str">
        <f>Analysis!B121</f>
        <v>Maria Garcia</v>
      </c>
      <c r="C91" s="25">
        <f>COUNTIFS(rdCustID,A91,rdReg,$B$54,rdCat,$B$55,rdDate,"&gt;="&amp;$F$4,rdDate,"&lt;="&amp;$H$4)</f>
        <v>4</v>
      </c>
      <c r="D91" s="70">
        <f>SUMIFS(rdAmt,rdCustID,A91,rdReg,$B$54,rdCat,$B$55,rdDate,"&gt;="&amp;$F$4,rdDate,"&lt;="&amp;$H$4)+(100-ROWS(D$82:D91))/10000000</f>
        <v>1909.9300090000002</v>
      </c>
    </row>
    <row r="92" spans="1:4">
      <c r="A92" s="19" t="str">
        <f>Analysis!A122</f>
        <v>CUST011</v>
      </c>
      <c r="B92" s="19" t="str">
        <f>Analysis!B122</f>
        <v>William White</v>
      </c>
      <c r="C92" s="25">
        <f>COUNTIFS(rdCustID,A92,rdReg,$B$54,rdCat,$B$55,rdDate,"&gt;="&amp;$F$4,rdDate,"&lt;="&amp;$H$4)</f>
        <v>3</v>
      </c>
      <c r="D92" s="70">
        <f>SUMIFS(rdAmt,rdCustID,A92,rdReg,$B$54,rdCat,$B$55,rdDate,"&gt;="&amp;$F$4,rdDate,"&lt;="&amp;$H$4)+(100-ROWS(D$82:D92))/10000000</f>
        <v>4749.9100088999994</v>
      </c>
    </row>
    <row r="93" spans="1:4">
      <c r="A93" s="19" t="str">
        <f>Analysis!A123</f>
        <v>CUST012</v>
      </c>
      <c r="B93" s="19" t="str">
        <f>Analysis!B123</f>
        <v>Patricia Moore</v>
      </c>
      <c r="C93" s="25">
        <f>COUNTIFS(rdCustID,A93,rdReg,$B$54,rdCat,$B$55,rdDate,"&gt;="&amp;$F$4,rdDate,"&lt;="&amp;$H$4)</f>
        <v>8</v>
      </c>
      <c r="D93" s="70">
        <f>SUMIFS(rdAmt,rdCustID,A93,rdReg,$B$54,rdCat,$B$55,rdDate,"&gt;="&amp;$F$4,rdDate,"&lt;="&amp;$H$4)+(100-ROWS(D$82:D93))/10000000</f>
        <v>9799.7300087999993</v>
      </c>
    </row>
    <row r="94" spans="1:4">
      <c r="A94" s="19" t="str">
        <f>Analysis!A124</f>
        <v>CUST013</v>
      </c>
      <c r="B94" s="19" t="str">
        <f>Analysis!B124</f>
        <v>Joseph Jackson</v>
      </c>
      <c r="C94" s="25">
        <f>COUNTIFS(rdCustID,A94,rdReg,$B$54,rdCat,$B$55,rdDate,"&gt;="&amp;$F$4,rdDate,"&lt;="&amp;$H$4)</f>
        <v>5</v>
      </c>
      <c r="D94" s="70">
        <f>SUMIFS(rdAmt,rdCustID,A94,rdReg,$B$54,rdCat,$B$55,rdDate,"&gt;="&amp;$F$4,rdDate,"&lt;="&amp;$H$4)+(100-ROWS(D$82:D94))/10000000</f>
        <v>6949.8400087</v>
      </c>
    </row>
    <row r="95" spans="1:4">
      <c r="A95" s="19" t="str">
        <f>Analysis!A125</f>
        <v>CUST014</v>
      </c>
      <c r="B95" s="19" t="str">
        <f>Analysis!B125</f>
        <v>Linda Martin</v>
      </c>
      <c r="C95" s="25">
        <f>COUNTIFS(rdCustID,A95,rdReg,$B$54,rdCat,$B$55,rdDate,"&gt;="&amp;$F$4,rdDate,"&lt;="&amp;$H$4)</f>
        <v>4</v>
      </c>
      <c r="D95" s="70">
        <f>SUMIFS(rdAmt,rdCustID,A95,rdReg,$B$54,rdCat,$B$55,rdDate,"&gt;="&amp;$F$4,rdDate,"&lt;="&amp;$H$4)+(100-ROWS(D$82:D95))/10000000</f>
        <v>1289.9000086000001</v>
      </c>
    </row>
    <row r="96" spans="1:4">
      <c r="A96" s="19" t="str">
        <f>Analysis!A126</f>
        <v>CUST015</v>
      </c>
      <c r="B96" s="19" t="str">
        <f>Analysis!B126</f>
        <v>Richard Lee</v>
      </c>
      <c r="C96" s="25">
        <f>COUNTIFS(rdCustID,A96,rdReg,$B$54,rdCat,$B$55,rdDate,"&gt;="&amp;$F$4,rdDate,"&lt;="&amp;$H$4)</f>
        <v>3</v>
      </c>
      <c r="D96" s="70">
        <f>SUMIFS(rdAmt,rdCustID,A96,rdReg,$B$54,rdCat,$B$55,rdDate,"&gt;="&amp;$F$4,rdDate,"&lt;="&amp;$H$4)+(100-ROWS(D$82:D96))/10000000</f>
        <v>739.9300085000001</v>
      </c>
    </row>
    <row r="97" spans="1:4">
      <c r="A97" s="19" t="str">
        <f>Analysis!A127</f>
        <v>CUST016</v>
      </c>
      <c r="B97" s="19" t="str">
        <f>Analysis!B127</f>
        <v>Elizabeth Hall</v>
      </c>
      <c r="C97" s="25">
        <f>COUNTIFS(rdCustID,A97,rdReg,$B$54,rdCat,$B$55,rdDate,"&gt;="&amp;$F$4,rdDate,"&lt;="&amp;$H$4)</f>
        <v>4</v>
      </c>
      <c r="D97" s="70">
        <f>SUMIFS(rdAmt,rdCustID,A97,rdReg,$B$54,rdCat,$B$55,rdDate,"&gt;="&amp;$F$4,rdDate,"&lt;="&amp;$H$4)+(100-ROWS(D$82:D97))/10000000</f>
        <v>3649.8600083999995</v>
      </c>
    </row>
    <row r="98" spans="1:4">
      <c r="A98" s="19" t="str">
        <f>Analysis!A128</f>
        <v>CUST017</v>
      </c>
      <c r="B98" s="19" t="str">
        <f>Analysis!B128</f>
        <v>Charles Allen</v>
      </c>
      <c r="C98" s="25">
        <f>COUNTIFS(rdCustID,A98,rdReg,$B$54,rdCat,$B$55,rdDate,"&gt;="&amp;$F$4,rdDate,"&lt;="&amp;$H$4)</f>
        <v>9</v>
      </c>
      <c r="D98" s="70">
        <f>SUMIFS(rdAmt,rdCustID,A98,rdReg,$B$54,rdCat,$B$55,rdDate,"&gt;="&amp;$F$4,rdDate,"&lt;="&amp;$H$4)+(100-ROWS(D$82:D98))/10000000</f>
        <v>5089.7300083000009</v>
      </c>
    </row>
    <row r="99" spans="1:4">
      <c r="A99" s="19" t="str">
        <f>Analysis!A129</f>
        <v>CUST018</v>
      </c>
      <c r="B99" s="19" t="str">
        <f>Analysis!B129</f>
        <v>Barbara Young</v>
      </c>
      <c r="C99" s="25">
        <f>COUNTIFS(rdCustID,A99,rdReg,$B$54,rdCat,$B$55,rdDate,"&gt;="&amp;$F$4,rdDate,"&lt;="&amp;$H$4)</f>
        <v>5</v>
      </c>
      <c r="D99" s="70">
        <f>SUMIFS(rdAmt,rdCustID,A99,rdReg,$B$54,rdCat,$B$55,rdDate,"&gt;="&amp;$F$4,rdDate,"&lt;="&amp;$H$4)+(100-ROWS(D$82:D99))/10000000</f>
        <v>10649.8000082</v>
      </c>
    </row>
    <row r="100" spans="1:4">
      <c r="A100" s="19" t="str">
        <f>Analysis!A130</f>
        <v>CUST019</v>
      </c>
      <c r="B100" s="19" t="str">
        <f>Analysis!B130</f>
        <v>Daniel King</v>
      </c>
      <c r="C100" s="25">
        <f>COUNTIFS(rdCustID,A100,rdReg,$B$54,rdCat,$B$55,rdDate,"&gt;="&amp;$F$4,rdDate,"&lt;="&amp;$H$4)</f>
        <v>7</v>
      </c>
      <c r="D100" s="70">
        <f>SUMIFS(rdAmt,rdCustID,A100,rdReg,$B$54,rdCat,$B$55,rdDate,"&gt;="&amp;$F$4,rdDate,"&lt;="&amp;$H$4)+(100-ROWS(D$82:D100))/10000000</f>
        <v>7309.8000080999991</v>
      </c>
    </row>
    <row r="101" spans="1:4">
      <c r="A101" s="19" t="str">
        <f>Analysis!A131</f>
        <v>CUST020</v>
      </c>
      <c r="B101" s="19" t="str">
        <f>Analysis!B131</f>
        <v>Margaret Wright</v>
      </c>
      <c r="C101" s="25">
        <f>COUNTIFS(rdCustID,A101,rdReg,$B$54,rdCat,$B$55,rdDate,"&gt;="&amp;$F$4,rdDate,"&lt;="&amp;$H$4)</f>
        <v>4</v>
      </c>
      <c r="D101" s="70">
        <f>SUMIFS(rdAmt,rdCustID,A101,rdReg,$B$54,rdCat,$B$55,rdDate,"&gt;="&amp;$F$4,rdDate,"&lt;="&amp;$H$4)+(100-ROWS(D$82:D101))/10000000</f>
        <v>2099.8800080000001</v>
      </c>
    </row>
    <row r="102" spans="1:4">
      <c r="A102" s="19" t="str">
        <f>Analysis!A132</f>
        <v>CUST021</v>
      </c>
      <c r="B102" s="19" t="str">
        <f>Analysis!B132</f>
        <v>Kevin Scott</v>
      </c>
      <c r="C102" s="25">
        <f>COUNTIFS(rdCustID,A102,rdReg,$B$54,rdCat,$B$55,rdDate,"&gt;="&amp;$F$4,rdDate,"&lt;="&amp;$H$4)</f>
        <v>6</v>
      </c>
      <c r="D102" s="70">
        <f>SUMIFS(rdAmt,rdCustID,A102,rdReg,$B$54,rdCat,$B$55,rdDate,"&gt;="&amp;$F$4,rdDate,"&lt;="&amp;$H$4)+(100-ROWS(D$82:D102))/10000000</f>
        <v>3259.8700079</v>
      </c>
    </row>
    <row r="103" spans="1:4">
      <c r="A103" s="19" t="str">
        <f>Analysis!A133</f>
        <v>CUST022</v>
      </c>
      <c r="B103" s="19" t="str">
        <f>Analysis!B133</f>
        <v>Susan Green</v>
      </c>
      <c r="C103" s="25">
        <f>COUNTIFS(rdCustID,A103,rdReg,$B$54,rdCat,$B$55,rdDate,"&gt;="&amp;$F$4,rdDate,"&lt;="&amp;$H$4)</f>
        <v>4</v>
      </c>
      <c r="D103" s="70">
        <f>SUMIFS(rdAmt,rdCustID,A103,rdReg,$B$54,rdCat,$B$55,rdDate,"&gt;="&amp;$F$4,rdDate,"&lt;="&amp;$H$4)+(100-ROWS(D$82:D103))/10000000</f>
        <v>1979.8900078000001</v>
      </c>
    </row>
    <row r="104" spans="1:4">
      <c r="A104" s="19" t="str">
        <f>Analysis!A134</f>
        <v>CUST023</v>
      </c>
      <c r="B104" s="19" t="str">
        <f>Analysis!B134</f>
        <v>Paul Baker</v>
      </c>
      <c r="C104" s="25">
        <f>COUNTIFS(rdCustID,A104,rdReg,$B$54,rdCat,$B$55,rdDate,"&gt;="&amp;$F$4,rdDate,"&lt;="&amp;$H$4)</f>
        <v>8</v>
      </c>
      <c r="D104" s="70">
        <f>SUMIFS(rdAmt,rdCustID,A104,rdReg,$B$54,rdCat,$B$55,rdDate,"&gt;="&amp;$F$4,rdDate,"&lt;="&amp;$H$4)+(100-ROWS(D$82:D104))/10000000</f>
        <v>8309.7400076999984</v>
      </c>
    </row>
    <row r="105" spans="1:4">
      <c r="A105" s="19" t="str">
        <f>Analysis!A135</f>
        <v>CUST024</v>
      </c>
      <c r="B105" s="19" t="str">
        <f>Analysis!B135</f>
        <v>Dorothy Nelson</v>
      </c>
      <c r="C105" s="25">
        <f>COUNTIFS(rdCustID,A105,rdReg,$B$54,rdCat,$B$55,rdDate,"&gt;="&amp;$F$4,rdDate,"&lt;="&amp;$H$4)</f>
        <v>6</v>
      </c>
      <c r="D105" s="70">
        <f>SUMIFS(rdAmt,rdCustID,A105,rdReg,$B$54,rdCat,$B$55,rdDate,"&gt;="&amp;$F$4,rdDate,"&lt;="&amp;$H$4)+(100-ROWS(D$82:D105))/10000000</f>
        <v>8269.7900076000005</v>
      </c>
    </row>
    <row r="106" spans="1:4">
      <c r="A106" s="19" t="str">
        <f>Analysis!A136</f>
        <v>CUST025</v>
      </c>
      <c r="B106" s="19" t="str">
        <f>Analysis!B136</f>
        <v>Mark Carter</v>
      </c>
      <c r="C106" s="25">
        <f>COUNTIFS(rdCustID,A106,rdReg,$B$54,rdCat,$B$55,rdDate,"&gt;="&amp;$F$4,rdDate,"&lt;="&amp;$H$4)</f>
        <v>12</v>
      </c>
      <c r="D106" s="70">
        <f>SUMIFS(rdAmt,rdCustID,A106,rdReg,$B$54,rdCat,$B$55,rdDate,"&gt;="&amp;$F$4,rdDate,"&lt;="&amp;$H$4)+(100-ROWS(D$82:D106))/10000000</f>
        <v>15659.6500075</v>
      </c>
    </row>
    <row r="107" spans="1:4">
      <c r="A107" s="19" t="str">
        <f>Analysis!A137</f>
        <v>CUST026</v>
      </c>
      <c r="B107" s="19" t="str">
        <f>Analysis!B137</f>
        <v>Karen Hill</v>
      </c>
      <c r="C107" s="25">
        <f>COUNTIFS(rdCustID,A107,rdReg,$B$54,rdCat,$B$55,rdDate,"&gt;="&amp;$F$4,rdDate,"&lt;="&amp;$H$4)</f>
        <v>8</v>
      </c>
      <c r="D107" s="70">
        <f>SUMIFS(rdAmt,rdCustID,A107,rdReg,$B$54,rdCat,$B$55,rdDate,"&gt;="&amp;$F$4,rdDate,"&lt;="&amp;$H$4)+(100-ROWS(D$82:D107))/10000000</f>
        <v>8009.7700073999995</v>
      </c>
    </row>
    <row r="108" spans="1:4">
      <c r="A108" s="19" t="str">
        <f>Analysis!A138</f>
        <v>CUST027</v>
      </c>
      <c r="B108" s="19" t="str">
        <f>Analysis!B138</f>
        <v>George Adams</v>
      </c>
      <c r="C108" s="25">
        <f>COUNTIFS(rdCustID,A108,rdReg,$B$54,rdCat,$B$55,rdDate,"&gt;="&amp;$F$4,rdDate,"&lt;="&amp;$H$4)</f>
        <v>3</v>
      </c>
      <c r="D108" s="70">
        <f>SUMIFS(rdAmt,rdCustID,A108,rdReg,$B$54,rdCat,$B$55,rdDate,"&gt;="&amp;$F$4,rdDate,"&lt;="&amp;$H$4)+(100-ROWS(D$82:D108))/10000000</f>
        <v>3779.9300072999999</v>
      </c>
    </row>
    <row r="109" spans="1:4">
      <c r="A109" s="19" t="str">
        <f>Analysis!A139</f>
        <v>CUST028</v>
      </c>
      <c r="B109" s="19" t="str">
        <f>Analysis!B139</f>
        <v>Betty Campbell</v>
      </c>
      <c r="C109" s="25">
        <f>COUNTIFS(rdCustID,A109,rdReg,$B$54,rdCat,$B$55,rdDate,"&gt;="&amp;$F$4,rdDate,"&lt;="&amp;$H$4)</f>
        <v>5</v>
      </c>
      <c r="D109" s="70">
        <f>SUMIFS(rdAmt,rdCustID,A109,rdReg,$B$54,rdCat,$B$55,rdDate,"&gt;="&amp;$F$4,rdDate,"&lt;="&amp;$H$4)+(100-ROWS(D$82:D109))/10000000</f>
        <v>5649.8400072000004</v>
      </c>
    </row>
    <row r="110" spans="1:4">
      <c r="A110" s="19" t="str">
        <f>Analysis!A140</f>
        <v>CUST029</v>
      </c>
      <c r="B110" s="19" t="str">
        <f>Analysis!B140</f>
        <v>Edward Mitchell</v>
      </c>
      <c r="C110" s="25">
        <f>COUNTIFS(rdCustID,A110,rdReg,$B$54,rdCat,$B$55,rdDate,"&gt;="&amp;$F$4,rdDate,"&lt;="&amp;$H$4)</f>
        <v>6</v>
      </c>
      <c r="D110" s="70">
        <f>SUMIFS(rdAmt,rdCustID,A110,rdReg,$B$54,rdCat,$B$55,rdDate,"&gt;="&amp;$F$4,rdDate,"&lt;="&amp;$H$4)+(100-ROWS(D$82:D110))/10000000</f>
        <v>11919.770007099998</v>
      </c>
    </row>
    <row r="111" spans="1:4">
      <c r="A111" s="19" t="str">
        <f>Analysis!A141</f>
        <v>CUST030</v>
      </c>
      <c r="B111" s="19" t="str">
        <f>Analysis!B141</f>
        <v>Helen Roberts</v>
      </c>
      <c r="C111" s="25">
        <f>COUNTIFS(rdCustID,A111,rdReg,$B$54,rdCat,$B$55,rdDate,"&gt;="&amp;$F$4,rdDate,"&lt;="&amp;$H$4)</f>
        <v>7</v>
      </c>
      <c r="D111" s="70">
        <f>SUMIFS(rdAmt,rdCustID,A111,rdReg,$B$54,rdCat,$B$55,rdDate,"&gt;="&amp;$F$4,rdDate,"&lt;="&amp;$H$4)+(100-ROWS(D$82:D111))/10000000</f>
        <v>6459.7900069999996</v>
      </c>
    </row>
    <row r="112" spans="1:4">
      <c r="A112" s="19" t="str">
        <f>Analysis!A142</f>
        <v>CUST031</v>
      </c>
      <c r="B112" s="19" t="str">
        <f>Analysis!B142</f>
        <v>Steven Turner</v>
      </c>
      <c r="C112" s="25">
        <f>COUNTIFS(rdCustID,A112,rdReg,$B$54,rdCat,$B$55,rdDate,"&gt;="&amp;$F$4,rdDate,"&lt;="&amp;$H$4)</f>
        <v>6</v>
      </c>
      <c r="D112" s="70">
        <f>SUMIFS(rdAmt,rdCustID,A112,rdReg,$B$54,rdCat,$B$55,rdDate,"&gt;="&amp;$F$4,rdDate,"&lt;="&amp;$H$4)+(100-ROWS(D$82:D112))/10000000</f>
        <v>2649.8300068999997</v>
      </c>
    </row>
    <row r="113" spans="1:4">
      <c r="A113" s="19" t="str">
        <f>Analysis!A143</f>
        <v>CUST032</v>
      </c>
      <c r="B113" s="19" t="str">
        <f>Analysis!B143</f>
        <v>Sandra Phillips</v>
      </c>
      <c r="C113" s="25">
        <f>COUNTIFS(rdCustID,A113,rdReg,$B$54,rdCat,$B$55,rdDate,"&gt;="&amp;$F$4,rdDate,"&lt;="&amp;$H$4)</f>
        <v>5</v>
      </c>
      <c r="D113" s="70">
        <f>SUMIFS(rdAmt,rdCustID,A113,rdReg,$B$54,rdCat,$B$55,rdDate,"&gt;="&amp;$F$4,rdDate,"&lt;="&amp;$H$4)+(100-ROWS(D$82:D113))/10000000</f>
        <v>6349.8300067999999</v>
      </c>
    </row>
    <row r="114" spans="1:4">
      <c r="A114" s="19" t="str">
        <f>Analysis!A144</f>
        <v>CUST033</v>
      </c>
      <c r="B114" s="19" t="str">
        <f>Analysis!B144</f>
        <v>Frank Torres</v>
      </c>
      <c r="C114" s="25">
        <f>COUNTIFS(rdCustID,A114,rdReg,$B$54,rdCat,$B$55,rdDate,"&gt;="&amp;$F$4,rdDate,"&lt;="&amp;$H$4)</f>
        <v>5</v>
      </c>
      <c r="D114" s="70">
        <f>SUMIFS(rdAmt,rdCustID,A114,rdReg,$B$54,rdCat,$B$55,rdDate,"&gt;="&amp;$F$4,rdDate,"&lt;="&amp;$H$4)+(100-ROWS(D$82:D114))/10000000</f>
        <v>1479.9100067000002</v>
      </c>
    </row>
    <row r="115" spans="1:4">
      <c r="A115" s="19" t="str">
        <f>Analysis!A145</f>
        <v>CUST034</v>
      </c>
      <c r="B115" s="19" t="str">
        <f>Analysis!B145</f>
        <v>Carol Evans</v>
      </c>
      <c r="C115" s="25">
        <f>COUNTIFS(rdCustID,A115,rdReg,$B$54,rdCat,$B$55,rdDate,"&gt;="&amp;$F$4,rdDate,"&lt;="&amp;$H$4)</f>
        <v>3</v>
      </c>
      <c r="D115" s="70">
        <f>SUMIFS(rdAmt,rdCustID,A115,rdReg,$B$54,rdCat,$B$55,rdDate,"&gt;="&amp;$F$4,rdDate,"&lt;="&amp;$H$4)+(100-ROWS(D$82:D115))/10000000</f>
        <v>1149.9300066000001</v>
      </c>
    </row>
    <row r="116" spans="1:4">
      <c r="A116" s="19" t="str">
        <f>Analysis!A146</f>
        <v>CUST035</v>
      </c>
      <c r="B116" s="19" t="str">
        <f>Analysis!B146</f>
        <v>Harry Morgan</v>
      </c>
      <c r="C116" s="25">
        <f>COUNTIFS(rdCustID,A116,rdReg,$B$54,rdCat,$B$55,rdDate,"&gt;="&amp;$F$4,rdDate,"&lt;="&amp;$H$4)</f>
        <v>4</v>
      </c>
      <c r="D116" s="70">
        <f>SUMIFS(rdAmt,rdCustID,A116,rdReg,$B$54,rdCat,$B$55,rdDate,"&gt;="&amp;$F$4,rdDate,"&lt;="&amp;$H$4)+(100-ROWS(D$82:D116))/10000000</f>
        <v>5519.8900064999998</v>
      </c>
    </row>
    <row r="117" spans="1:4">
      <c r="A117" s="19" t="str">
        <f>Analysis!A147</f>
        <v>CUST036</v>
      </c>
      <c r="B117" s="19" t="str">
        <f>Analysis!B147</f>
        <v>Nancy Collins</v>
      </c>
      <c r="C117" s="25">
        <f>COUNTIFS(rdCustID,A117,rdReg,$B$54,rdCat,$B$55,rdDate,"&gt;="&amp;$F$4,rdDate,"&lt;="&amp;$H$4)</f>
        <v>6</v>
      </c>
      <c r="D117" s="70">
        <f>SUMIFS(rdAmt,rdCustID,A117,rdReg,$B$54,rdCat,$B$55,rdDate,"&gt;="&amp;$F$4,rdDate,"&lt;="&amp;$H$4)+(100-ROWS(D$82:D117))/10000000</f>
        <v>4189.7700064000001</v>
      </c>
    </row>
    <row r="118" spans="1:4">
      <c r="A118" s="19" t="str">
        <f>Analysis!A148</f>
        <v>CUST037</v>
      </c>
      <c r="B118" s="19" t="str">
        <f>Analysis!B148</f>
        <v>Arthur Edwards</v>
      </c>
      <c r="C118" s="25">
        <f>COUNTIFS(rdCustID,A118,rdReg,$B$54,rdCat,$B$55,rdDate,"&gt;="&amp;$F$4,rdDate,"&lt;="&amp;$H$4)</f>
        <v>3</v>
      </c>
      <c r="D118" s="70">
        <f>SUMIFS(rdAmt,rdCustID,A118,rdReg,$B$54,rdCat,$B$55,rdDate,"&gt;="&amp;$F$4,rdDate,"&lt;="&amp;$H$4)+(100-ROWS(D$82:D118))/10000000</f>
        <v>1559.9400063000001</v>
      </c>
    </row>
    <row r="119" spans="1:4">
      <c r="A119" s="19" t="str">
        <f>Analysis!A149</f>
        <v>CUST038</v>
      </c>
      <c r="B119" s="19" t="str">
        <f>Analysis!B149</f>
        <v>Michelle Rogers</v>
      </c>
      <c r="C119" s="25">
        <f>COUNTIFS(rdCustID,A119,rdReg,$B$54,rdCat,$B$55,rdDate,"&gt;="&amp;$F$4,rdDate,"&lt;="&amp;$H$4)</f>
        <v>2</v>
      </c>
      <c r="D119" s="70">
        <f>SUMIFS(rdAmt,rdCustID,A119,rdReg,$B$54,rdCat,$B$55,rdDate,"&gt;="&amp;$F$4,rdDate,"&lt;="&amp;$H$4)+(100-ROWS(D$82:D119))/10000000</f>
        <v>4199.9400061999995</v>
      </c>
    </row>
    <row r="120" spans="1:4">
      <c r="A120" s="19" t="str">
        <f>Analysis!A150</f>
        <v>CUST039</v>
      </c>
      <c r="B120" s="19" t="str">
        <f>Analysis!B150</f>
        <v>Lawrence Reed</v>
      </c>
      <c r="C120" s="25">
        <f>COUNTIFS(rdCustID,A120,rdReg,$B$54,rdCat,$B$55,rdDate,"&gt;="&amp;$F$4,rdDate,"&lt;="&amp;$H$4)</f>
        <v>8</v>
      </c>
      <c r="D120" s="70">
        <f>SUMIFS(rdAmt,rdCustID,A120,rdReg,$B$54,rdCat,$B$55,rdDate,"&gt;="&amp;$F$4,rdDate,"&lt;="&amp;$H$4)+(100-ROWS(D$82:D120))/10000000</f>
        <v>6989.7700060999987</v>
      </c>
    </row>
    <row r="121" spans="1:4">
      <c r="A121" s="19" t="str">
        <f>Analysis!A151</f>
        <v>CUST040</v>
      </c>
      <c r="B121" s="19" t="str">
        <f>Analysis!B151</f>
        <v>Sharon Butler</v>
      </c>
      <c r="C121" s="25">
        <f>COUNTIFS(rdCustID,A121,rdReg,$B$54,rdCat,$B$55,rdDate,"&gt;="&amp;$F$4,rdDate,"&lt;="&amp;$H$4)</f>
        <v>6</v>
      </c>
      <c r="D121" s="70">
        <f>SUMIFS(rdAmt,rdCustID,A121,rdReg,$B$54,rdCat,$B$55,rdDate,"&gt;="&amp;$F$4,rdDate,"&lt;="&amp;$H$4)+(100-ROWS(D$82:D121))/10000000</f>
        <v>5619.8700059999992</v>
      </c>
    </row>
    <row r="122" spans="1:4">
      <c r="A122" s="19" t="str">
        <f>Analysis!A152</f>
        <v>CUST041</v>
      </c>
      <c r="B122" s="19" t="str">
        <f>Analysis!B152</f>
        <v>Peter Richardson</v>
      </c>
      <c r="C122" s="25">
        <f>COUNTIFS(rdCustID,A122,rdReg,$B$54,rdCat,$B$55,rdDate,"&gt;="&amp;$F$4,rdDate,"&lt;="&amp;$H$4)</f>
        <v>5</v>
      </c>
      <c r="D122" s="70">
        <f>SUMIFS(rdAmt,rdCustID,A122,rdReg,$B$54,rdCat,$B$55,rdDate,"&gt;="&amp;$F$4,rdDate,"&lt;="&amp;$H$4)+(100-ROWS(D$82:D122))/10000000</f>
        <v>5949.8500059000007</v>
      </c>
    </row>
    <row r="123" spans="1:4">
      <c r="A123" s="19" t="str">
        <f>Analysis!A153</f>
        <v>CUST042</v>
      </c>
      <c r="B123" s="19" t="str">
        <f>Analysis!B153</f>
        <v>Ruth Brooks</v>
      </c>
      <c r="C123" s="25">
        <f>COUNTIFS(rdCustID,A123,rdReg,$B$54,rdCat,$B$55,rdDate,"&gt;="&amp;$F$4,rdDate,"&lt;="&amp;$H$4)</f>
        <v>3</v>
      </c>
      <c r="D123" s="70">
        <f>SUMIFS(rdAmt,rdCustID,A123,rdReg,$B$54,rdCat,$B$55,rdDate,"&gt;="&amp;$F$4,rdDate,"&lt;="&amp;$H$4)+(100-ROWS(D$82:D123))/10000000</f>
        <v>1749.9200058000001</v>
      </c>
    </row>
    <row r="124" spans="1:4">
      <c r="A124" s="19" t="str">
        <f>Analysis!A154</f>
        <v>CUST043</v>
      </c>
      <c r="B124" s="19" t="str">
        <f>Analysis!B154</f>
        <v>Dennis Gray</v>
      </c>
      <c r="C124" s="25">
        <f>COUNTIFS(rdCustID,A124,rdReg,$B$54,rdCat,$B$55,rdDate,"&gt;="&amp;$F$4,rdDate,"&lt;="&amp;$H$4)</f>
        <v>2</v>
      </c>
      <c r="D124" s="70">
        <f>SUMIFS(rdAmt,rdCustID,A124,rdReg,$B$54,rdCat,$B$55,rdDate,"&gt;="&amp;$F$4,rdDate,"&lt;="&amp;$H$4)+(100-ROWS(D$82:D124))/10000000</f>
        <v>479.92000569999993</v>
      </c>
    </row>
    <row r="125" spans="1:4">
      <c r="A125" s="19" t="str">
        <f>Analysis!A155</f>
        <v>CUST044</v>
      </c>
      <c r="B125" s="19" t="str">
        <f>Analysis!B155</f>
        <v>Cynthia Price</v>
      </c>
      <c r="C125" s="25">
        <f>COUNTIFS(rdCustID,A125,rdReg,$B$54,rdCat,$B$55,rdDate,"&gt;="&amp;$F$4,rdDate,"&lt;="&amp;$H$4)</f>
        <v>5</v>
      </c>
      <c r="D125" s="70">
        <f>SUMIFS(rdAmt,rdCustID,A125,rdReg,$B$54,rdCat,$B$55,rdDate,"&gt;="&amp;$F$4,rdDate,"&lt;="&amp;$H$4)+(100-ROWS(D$82:D125))/10000000</f>
        <v>3769.8300056000003</v>
      </c>
    </row>
    <row r="126" spans="1:4">
      <c r="A126" s="19" t="str">
        <f>Analysis!A156</f>
        <v>CUST045</v>
      </c>
      <c r="B126" s="19" t="str">
        <f>Analysis!B156</f>
        <v>Douglas Watson</v>
      </c>
      <c r="C126" s="25">
        <f>COUNTIFS(rdCustID,A126,rdReg,$B$54,rdCat,$B$55,rdDate,"&gt;="&amp;$F$4,rdDate,"&lt;="&amp;$H$4)</f>
        <v>4</v>
      </c>
      <c r="D126" s="70">
        <f>SUMIFS(rdAmt,rdCustID,A126,rdReg,$B$54,rdCat,$B$55,rdDate,"&gt;="&amp;$F$4,rdDate,"&lt;="&amp;$H$4)+(100-ROWS(D$82:D126))/10000000</f>
        <v>4829.8900054999995</v>
      </c>
    </row>
    <row r="127" spans="1:4">
      <c r="A127" s="19" t="str">
        <f>Analysis!A157</f>
        <v>CUST046</v>
      </c>
      <c r="B127" s="19" t="str">
        <f>Analysis!B157</f>
        <v>Kathleen Bennett</v>
      </c>
      <c r="C127" s="25">
        <f>COUNTIFS(rdCustID,A127,rdReg,$B$54,rdCat,$B$55,rdDate,"&gt;="&amp;$F$4,rdDate,"&lt;="&amp;$H$4)</f>
        <v>6</v>
      </c>
      <c r="D127" s="70">
        <f>SUMIFS(rdAmt,rdCustID,A127,rdReg,$B$54,rdCat,$B$55,rdDate,"&gt;="&amp;$F$4,rdDate,"&lt;="&amp;$H$4)+(100-ROWS(D$82:D127))/10000000</f>
        <v>4309.8100053999997</v>
      </c>
    </row>
    <row r="128" spans="1:4">
      <c r="A128" s="19" t="str">
        <f>Analysis!A158</f>
        <v>CUST047</v>
      </c>
      <c r="B128" s="19" t="str">
        <f>Analysis!B158</f>
        <v>Gerald Murphy</v>
      </c>
      <c r="C128" s="25">
        <f>COUNTIFS(rdCustID,A128,rdReg,$B$54,rdCat,$B$55,rdDate,"&gt;="&amp;$F$4,rdDate,"&lt;="&amp;$H$4)</f>
        <v>4</v>
      </c>
      <c r="D128" s="70">
        <f>SUMIFS(rdAmt,rdCustID,A128,rdReg,$B$54,rdCat,$B$55,rdDate,"&gt;="&amp;$F$4,rdDate,"&lt;="&amp;$H$4)+(100-ROWS(D$82:D128))/10000000</f>
        <v>6379.8700053000002</v>
      </c>
    </row>
    <row r="129" spans="1:4">
      <c r="A129" s="19" t="str">
        <f>Analysis!A159</f>
        <v>CUST048</v>
      </c>
      <c r="B129" s="19" t="str">
        <f>Analysis!B159</f>
        <v>Virginia Sanders</v>
      </c>
      <c r="C129" s="25">
        <f>COUNTIFS(rdCustID,A129,rdReg,$B$54,rdCat,$B$55,rdDate,"&gt;="&amp;$F$4,rdDate,"&lt;="&amp;$H$4)</f>
        <v>6</v>
      </c>
      <c r="D129" s="70">
        <f>SUMIFS(rdAmt,rdCustID,A129,rdReg,$B$54,rdCat,$B$55,rdDate,"&gt;="&amp;$F$4,rdDate,"&lt;="&amp;$H$4)+(100-ROWS(D$82:D129))/10000000</f>
        <v>4789.7900052000005</v>
      </c>
    </row>
    <row r="130" spans="1:4">
      <c r="A130" s="19" t="str">
        <f>Analysis!A160</f>
        <v>CUST049</v>
      </c>
      <c r="B130" s="19" t="str">
        <f>Analysis!B160</f>
        <v>Raymond Ross</v>
      </c>
      <c r="C130" s="25">
        <f>COUNTIFS(rdCustID,A130,rdReg,$B$54,rdCat,$B$55,rdDate,"&gt;="&amp;$F$4,rdDate,"&lt;="&amp;$H$4)</f>
        <v>4</v>
      </c>
      <c r="D130" s="70">
        <f>SUMIFS(rdAmt,rdCustID,A130,rdReg,$B$54,rdCat,$B$55,rdDate,"&gt;="&amp;$F$4,rdDate,"&lt;="&amp;$H$4)+(100-ROWS(D$82:D130))/10000000</f>
        <v>3669.8500051000005</v>
      </c>
    </row>
    <row r="131" spans="1:4">
      <c r="A131" s="19" t="str">
        <f>Analysis!A161</f>
        <v>CUST050</v>
      </c>
      <c r="B131" s="19" t="str">
        <f>Analysis!B161</f>
        <v>Julie Foster</v>
      </c>
      <c r="C131" s="25">
        <f>COUNTIFS(rdCustID,A131,rdReg,$B$54,rdCat,$B$55,rdDate,"&gt;="&amp;$F$4,rdDate,"&lt;="&amp;$H$4)</f>
        <v>1</v>
      </c>
      <c r="D131" s="70">
        <f>SUMIFS(rdAmt,rdCustID,A131,rdReg,$B$54,rdCat,$B$55,rdDate,"&gt;="&amp;$F$4,rdDate,"&lt;="&amp;$H$4)+(100-ROWS(D$82:D131))/10000000</f>
        <v>239.960005</v>
      </c>
    </row>
  </sheetData>
  <mergeCells count="24">
    <mergeCell ref="K7:L7"/>
    <mergeCell ref="C7:D7"/>
    <mergeCell ref="E7:F7"/>
    <mergeCell ref="K6:L6"/>
    <mergeCell ref="K8:L8"/>
    <mergeCell ref="H14:J14"/>
    <mergeCell ref="I8:J8"/>
    <mergeCell ref="A8:B8"/>
    <mergeCell ref="C8:D8"/>
    <mergeCell ref="A6:B6"/>
    <mergeCell ref="H16:J16"/>
    <mergeCell ref="A7:B7"/>
    <mergeCell ref="G7:H7"/>
    <mergeCell ref="I7:J7"/>
    <mergeCell ref="H13:J13"/>
    <mergeCell ref="H12:J12"/>
    <mergeCell ref="G6:H6"/>
    <mergeCell ref="H15:J15"/>
    <mergeCell ref="E6:F6"/>
    <mergeCell ref="C6:D6"/>
    <mergeCell ref="I6:J6"/>
    <mergeCell ref="G8:H8"/>
    <mergeCell ref="H17:J17"/>
    <mergeCell ref="E8:F8"/>
  </mergeCells>
  <conditionalFormatting sqref="A8">
    <cfRule type="iconSet" priority="1">
      <iconSet>
        <cfvo type="num" val="0"/>
        <cfvo type="num" val="0.15"/>
        <cfvo type="num" val="0.3"/>
      </iconSet>
    </cfRule>
  </conditionalFormatting>
  <conditionalFormatting sqref="C8">
    <cfRule type="iconSet" priority="2">
      <iconSet>
        <cfvo type="num" val="0"/>
        <cfvo type="num" val="0.15"/>
        <cfvo type="num" val="0.3"/>
      </iconSet>
    </cfRule>
  </conditionalFormatting>
  <conditionalFormatting sqref="E8">
    <cfRule type="iconSet" priority="3">
      <iconSet>
        <cfvo type="num" val="0"/>
        <cfvo type="num" val="0.15"/>
        <cfvo type="num" val="0.3"/>
      </iconSet>
    </cfRule>
  </conditionalFormatting>
  <conditionalFormatting sqref="G8">
    <cfRule type="iconSet" priority="4">
      <iconSet iconSet="3Arrows">
        <cfvo type="num" val="-1"/>
        <cfvo type="num" val="-1E-4"/>
        <cfvo type="num" val="1E-4"/>
      </iconSet>
    </cfRule>
    <cfRule type="expression" dxfId="5" priority="5">
      <formula>G8&gt;0</formula>
    </cfRule>
    <cfRule type="expression" dxfId="4" priority="6">
      <formula>G8&lt;0</formula>
    </cfRule>
  </conditionalFormatting>
  <conditionalFormatting sqref="I8">
    <cfRule type="iconSet" priority="7">
      <iconSet>
        <cfvo type="num" val="0"/>
        <cfvo type="num" val="0.15"/>
        <cfvo type="num" val="0.3"/>
      </iconSet>
    </cfRule>
  </conditionalFormatting>
  <conditionalFormatting sqref="K8">
    <cfRule type="iconSet" priority="8">
      <iconSet iconSet="3Arrows">
        <cfvo type="num" val="-1"/>
        <cfvo type="num" val="-1E-4"/>
        <cfvo type="num" val="1E-4"/>
      </iconSet>
    </cfRule>
    <cfRule type="expression" dxfId="3" priority="9">
      <formula>K8&gt;0</formula>
    </cfRule>
    <cfRule type="expression" dxfId="2" priority="10">
      <formula>K8&lt;0</formula>
    </cfRule>
  </conditionalFormatting>
  <conditionalFormatting sqref="D13:D17">
    <cfRule type="iconSet" priority="11">
      <iconSet iconSet="3Arrows">
        <cfvo type="num" val="-1"/>
        <cfvo type="num" val="-1E-4"/>
        <cfvo type="num" val="1E-4"/>
      </iconSet>
    </cfRule>
    <cfRule type="expression" dxfId="1" priority="12">
      <formula>D13&gt;0</formula>
    </cfRule>
    <cfRule type="expression" dxfId="0" priority="13">
      <formula>D13&lt;0</formula>
    </cfRule>
  </conditionalFormatting>
  <conditionalFormatting sqref="K13:K17">
    <cfRule type="dataBar" priority="14">
      <dataBar>
        <cfvo type="num" val="0"/>
        <cfvo type="max"/>
        <color rgb="FF2A9D8F"/>
      </dataBar>
    </cfRule>
  </conditionalFormatting>
  <dataValidations count="3">
    <dataValidation type="list" sqref="B4" xr:uid="{00000000-0002-0000-0400-000000000000}">
      <formula1>"All,Central,East,North,South,West"</formula1>
    </dataValidation>
    <dataValidation type="list" sqref="D4" xr:uid="{00000000-0002-0000-0400-000001000000}">
      <formula1>"All,Electronics,Furniture,Appliances"</formula1>
    </dataValidation>
    <dataValidation type="date" operator="greaterThan" sqref="F4 H4" xr:uid="{00000000-0002-0000-0400-000002000000}">
      <formula1>36526</formula1>
    </dataValidation>
  </dataValidations>
  <pageMargins left="0.75" right="0.75" top="1" bottom="1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9A23B"/>
    <pageSetUpPr fitToPage="1"/>
  </sheetPr>
  <dimension ref="B1:F48"/>
  <sheetViews>
    <sheetView showGridLines="0" workbookViewId="0"/>
  </sheetViews>
  <sheetFormatPr defaultRowHeight="15"/>
  <cols>
    <col min="1" max="1" width="3" customWidth="1"/>
    <col min="2" max="2" width="34" customWidth="1"/>
    <col min="3" max="6" width="18" customWidth="1"/>
    <col min="7" max="7" width="3" customWidth="1"/>
  </cols>
  <sheetData>
    <row r="1" spans="2:6">
      <c r="B1" s="71" t="s">
        <v>601</v>
      </c>
    </row>
    <row r="2" spans="2:6">
      <c r="B2" s="8" t="str">
        <f ca="1">"Prepared "&amp;TEXT(TODAY(),"dd mmmm yyyy")&amp;" from "&amp;TEXT(COUNTA(rdID),"#,##0")&amp;" customer transactions ("&amp;TEXT(MIN(rdDate),"dd mmm yyyy")&amp;" – "&amp;TEXT(MAX(rdDate),"dd mmm yyyy")&amp;")"</f>
        <v>Prepared 15 October 2026 from 250 customer transactions (11 Apr 2024 – 11 Apr 2025)</v>
      </c>
    </row>
    <row r="4" spans="2:6" ht="20.100000000000001" customHeight="1">
      <c r="B4" s="11" t="s">
        <v>602</v>
      </c>
      <c r="C4" s="12"/>
      <c r="D4" s="12"/>
      <c r="E4" s="12"/>
      <c r="F4" s="12"/>
    </row>
    <row r="5" spans="2:6" ht="36" customHeight="1">
      <c r="B5" s="85" t="str">
        <f>"Over the period the business booked "&amp;TEXT(Analysis!$B$21,"[&gt;=10000000]\₹##\,##\,##\,##0;[&gt;=100000]\₹##\,##\,##0;\₹#,##0")&amp;" in revenue across "&amp;TEXT(Analysis!$B$22,"#,##0")&amp;" transactions, selling "&amp;TEXT(Analysis!$B$23,"#,##0")&amp;" units to "&amp;Analysis!$B$25&amp;" customers. The average order was worth "&amp;TEXT(Analysis!$B$24,"[&gt;=10000000]\₹##\,##\,##\,##0.00;[&gt;=100000]\₹##\,##\,##0.00;\₹#,##0.00")&amp;"."</f>
        <v>Over the period the business booked ₹2,29,192 in revenue across 250 transactions, selling 753 units to 50 customers. The average order was worth ₹916.77.</v>
      </c>
      <c r="C5" s="94"/>
      <c r="D5" s="94"/>
      <c r="E5" s="94"/>
      <c r="F5" s="94"/>
    </row>
    <row r="7" spans="2:6" ht="20.100000000000001" customHeight="1">
      <c r="B7" s="11" t="s">
        <v>603</v>
      </c>
      <c r="C7" s="12"/>
      <c r="D7" s="12"/>
      <c r="E7" s="12"/>
      <c r="F7" s="12"/>
    </row>
    <row r="8" spans="2:6" ht="30" customHeight="1">
      <c r="B8" s="13" t="s">
        <v>409</v>
      </c>
      <c r="C8" s="13" t="s">
        <v>410</v>
      </c>
    </row>
    <row r="9" spans="2:6">
      <c r="B9" s="19" t="s">
        <v>412</v>
      </c>
      <c r="C9" s="15">
        <f>Analysis!$B$21</f>
        <v>229192.47000000032</v>
      </c>
    </row>
    <row r="10" spans="2:6">
      <c r="B10" s="19" t="s">
        <v>449</v>
      </c>
      <c r="C10" s="22">
        <f>Analysis!$B$22</f>
        <v>250</v>
      </c>
    </row>
    <row r="11" spans="2:6">
      <c r="B11" s="19" t="s">
        <v>450</v>
      </c>
      <c r="C11" s="22">
        <f>Analysis!$B$23</f>
        <v>753</v>
      </c>
    </row>
    <row r="12" spans="2:6">
      <c r="B12" s="19" t="s">
        <v>604</v>
      </c>
      <c r="C12" s="15">
        <f>Analysis!$B$24</f>
        <v>916.76988000000131</v>
      </c>
    </row>
    <row r="13" spans="2:6">
      <c r="B13" s="19" t="s">
        <v>605</v>
      </c>
      <c r="C13" s="18" t="str">
        <f>Analysis!$B$26</f>
        <v>Mark Carter</v>
      </c>
    </row>
    <row r="14" spans="2:6">
      <c r="B14" s="19" t="s">
        <v>606</v>
      </c>
      <c r="C14" s="18" t="str">
        <f>Analysis!$B$104</f>
        <v>Bookshelf</v>
      </c>
    </row>
    <row r="15" spans="2:6">
      <c r="B15" s="19" t="s">
        <v>607</v>
      </c>
      <c r="C15" s="18" t="str">
        <f>Analysis!$B$29</f>
        <v>East</v>
      </c>
    </row>
    <row r="17" spans="2:6">
      <c r="B17" s="9" t="s">
        <v>608</v>
      </c>
      <c r="E17" s="9" t="s">
        <v>609</v>
      </c>
    </row>
    <row r="18" spans="2:6" ht="30" customHeight="1">
      <c r="B18" s="13" t="s">
        <v>491</v>
      </c>
      <c r="C18" s="13" t="s">
        <v>478</v>
      </c>
      <c r="E18" s="13" t="s">
        <v>464</v>
      </c>
      <c r="F18" s="13" t="s">
        <v>574</v>
      </c>
    </row>
    <row r="19" spans="2:6">
      <c r="B19" s="19" t="str">
        <f>Analysis!B172</f>
        <v>Mark Carter</v>
      </c>
      <c r="C19" s="60">
        <f>Analysis!C172</f>
        <v>15659.65</v>
      </c>
      <c r="E19" s="19" t="str">
        <f>INDEX(Analysis!$B$93:$B$102,MATCH(1,Analysis!$H$93:$H$102,0))</f>
        <v>Bookshelf</v>
      </c>
      <c r="F19" s="25">
        <f>INDEX(Analysis!$E$93:$E$102,MATCH(1,Analysis!$H$93:$H$102,0))</f>
        <v>102</v>
      </c>
    </row>
    <row r="20" spans="2:6">
      <c r="B20" s="19" t="str">
        <f>Analysis!B173</f>
        <v>Edward Mitchell</v>
      </c>
      <c r="C20" s="60">
        <f>Analysis!C173</f>
        <v>11919.769999999999</v>
      </c>
      <c r="E20" s="19" t="str">
        <f>INDEX(Analysis!$B$93:$B$102,MATCH(2,Analysis!$H$93:$H$102,0))</f>
        <v>Smartphone</v>
      </c>
      <c r="F20" s="25">
        <f>INDEX(Analysis!$E$93:$E$102,MATCH(2,Analysis!$H$93:$H$102,0))</f>
        <v>96</v>
      </c>
    </row>
    <row r="21" spans="2:6">
      <c r="B21" s="19" t="str">
        <f>Analysis!B174</f>
        <v>Barbara Young</v>
      </c>
      <c r="C21" s="60">
        <f>Analysis!C174</f>
        <v>10649.8</v>
      </c>
      <c r="E21" s="19" t="str">
        <f>INDEX(Analysis!$B$93:$B$102,MATCH(3,Analysis!$H$93:$H$102,0))</f>
        <v>Keyboard</v>
      </c>
      <c r="F21" s="25">
        <f>INDEX(Analysis!$E$93:$E$102,MATCH(3,Analysis!$H$93:$H$102,0))</f>
        <v>89</v>
      </c>
    </row>
    <row r="22" spans="2:6">
      <c r="B22" s="19" t="str">
        <f>Analysis!B175</f>
        <v>Patricia Moore</v>
      </c>
      <c r="C22" s="60">
        <f>Analysis!C175</f>
        <v>9799.73</v>
      </c>
      <c r="E22" s="19" t="str">
        <f>INDEX(Analysis!$B$93:$B$102,MATCH(4,Analysis!$H$93:$H$102,0))</f>
        <v>Monitor</v>
      </c>
      <c r="F22" s="25">
        <f>INDEX(Analysis!$E$93:$E$102,MATCH(4,Analysis!$H$93:$H$102,0))</f>
        <v>88</v>
      </c>
    </row>
    <row r="23" spans="2:6">
      <c r="B23" s="19" t="str">
        <f>Analysis!B176</f>
        <v>Paul Baker</v>
      </c>
      <c r="C23" s="60">
        <f>Analysis!C176</f>
        <v>8309.739999999998</v>
      </c>
      <c r="E23" s="19" t="str">
        <f>INDEX(Analysis!$B$93:$B$102,MATCH(5,Analysis!$H$93:$H$102,0))</f>
        <v>Blender</v>
      </c>
      <c r="F23" s="25">
        <f>INDEX(Analysis!$E$93:$E$102,MATCH(5,Analysis!$H$93:$H$102,0))</f>
        <v>87</v>
      </c>
    </row>
    <row r="25" spans="2:6">
      <c r="B25" s="9" t="s">
        <v>610</v>
      </c>
    </row>
    <row r="26" spans="2:6" ht="30" customHeight="1">
      <c r="B26" s="13" t="s">
        <v>4</v>
      </c>
      <c r="C26" s="13" t="s">
        <v>448</v>
      </c>
      <c r="D26" s="13" t="s">
        <v>576</v>
      </c>
    </row>
    <row r="27" spans="2:6">
      <c r="B27" s="19" t="str">
        <f>INDEX(Analysis!$A$67:$A$71,MATCH(1,Analysis!$H$67:$H$71,0))</f>
        <v>East</v>
      </c>
      <c r="C27" s="60">
        <f>INDEX(Analysis!$C$67:$C$71,MATCH(1,Analysis!$H$67:$H$71,0))</f>
        <v>59288.389999999992</v>
      </c>
      <c r="D27" s="30">
        <f>INDEX(Analysis!$G$67:$G$71,MATCH(1,Analysis!$H$67:$H$71,0))</f>
        <v>0.25868384768487368</v>
      </c>
    </row>
    <row r="28" spans="2:6">
      <c r="B28" s="19" t="str">
        <f>INDEX(Analysis!$A$67:$A$71,MATCH(2,Analysis!$H$67:$H$71,0))</f>
        <v>North</v>
      </c>
      <c r="C28" s="60">
        <f>INDEX(Analysis!$C$67:$C$71,MATCH(2,Analysis!$H$67:$H$71,0))</f>
        <v>50808.310000000012</v>
      </c>
      <c r="D28" s="30">
        <f>INDEX(Analysis!$G$67:$G$71,MATCH(2,Analysis!$H$67:$H$71,0))</f>
        <v>0.221684028275449</v>
      </c>
    </row>
    <row r="29" spans="2:6">
      <c r="B29" s="19" t="str">
        <f>INDEX(Analysis!$A$67:$A$71,MATCH(3,Analysis!$H$67:$H$71,0))</f>
        <v>West</v>
      </c>
      <c r="C29" s="60">
        <f>INDEX(Analysis!$C$67:$C$71,MATCH(3,Analysis!$H$67:$H$71,0))</f>
        <v>41408.680000000015</v>
      </c>
      <c r="D29" s="30">
        <f>INDEX(Analysis!$G$67:$G$71,MATCH(3,Analysis!$H$67:$H$71,0))</f>
        <v>0.18067207879909844</v>
      </c>
    </row>
    <row r="30" spans="2:6">
      <c r="B30" s="19" t="str">
        <f>INDEX(Analysis!$A$67:$A$71,MATCH(4,Analysis!$H$67:$H$71,0))</f>
        <v>Central</v>
      </c>
      <c r="C30" s="60">
        <f>INDEX(Analysis!$C$67:$C$71,MATCH(4,Analysis!$H$67:$H$71,0))</f>
        <v>41288.340000000018</v>
      </c>
      <c r="D30" s="30">
        <f>INDEX(Analysis!$G$67:$G$71,MATCH(4,Analysis!$H$67:$H$71,0))</f>
        <v>0.18014701791904422</v>
      </c>
    </row>
    <row r="31" spans="2:6">
      <c r="B31" s="19" t="str">
        <f>INDEX(Analysis!$A$67:$A$71,MATCH(5,Analysis!$H$67:$H$71,0))</f>
        <v>South</v>
      </c>
      <c r="C31" s="60">
        <f>INDEX(Analysis!$C$67:$C$71,MATCH(5,Analysis!$H$67:$H$71,0))</f>
        <v>36398.750000000007</v>
      </c>
      <c r="D31" s="30">
        <f>INDEX(Analysis!$G$67:$G$71,MATCH(5,Analysis!$H$67:$H$71,0))</f>
        <v>0.1588130273215346</v>
      </c>
    </row>
    <row r="33" spans="2:6" ht="20.100000000000001" customHeight="1">
      <c r="B33" s="11" t="s">
        <v>611</v>
      </c>
      <c r="C33" s="12"/>
      <c r="D33" s="12"/>
      <c r="E33" s="12"/>
      <c r="F33" s="12"/>
    </row>
    <row r="34" spans="2:6" ht="84" customHeight="1">
      <c r="B34" s="72" t="s">
        <v>612</v>
      </c>
      <c r="C34" s="85" t="str">
        <f>"Revenue is concentrated: the "&amp;Analysis!$B$165&amp;" high-value customers (top "&amp;TEXT(1-Analysis!$B$109,"0%")&amp;" by spend) generate "&amp;TEXT(Analysis!$B$166,"0.0%")&amp;" of all revenue. "&amp;Analysis!$B$26&amp;" leads with "&amp;Analysis!$C$26&amp;"; "&amp;Analysis!$B$164&amp;" of "&amp;Analysis!$B$25&amp;" customers bought more than once, and "&amp;Analysis!$B$167&amp;" is the most frequently repeating name ("&amp;Analysis!$C$167&amp;" purchases)."</f>
        <v>Revenue is concentrated: the 10 high-value customers (top 20% by spend) generate 41.0% of all revenue. Mark Carter leads with ₹15,659.65 total spend; 47 of 50 customers bought more than once, and Mark Carter is the most frequently repeating name (12 purchases).</v>
      </c>
      <c r="D34" s="94"/>
      <c r="E34" s="94"/>
      <c r="F34" s="94"/>
    </row>
    <row r="35" spans="2:6" ht="84" customHeight="1">
      <c r="B35" s="72" t="s">
        <v>613</v>
      </c>
      <c r="C35" s="85" t="str">
        <f>Analysis!$B$104&amp;" is the most sold product ("&amp;TEXT(Analysis!$C$104,"0")&amp;"), while "&amp;Analysis!$B$105&amp;" earns the most money ("&amp;TEXT(Analysis!$C$105,"[&gt;=10000000]\₹##\,##\,##\,##0;[&gt;=100000]\₹##\,##\,##0;\₹#,##0")&amp;"). "&amp;INDEX(Analysis!$A$76:$A$78,MATCH(MAX(Analysis!$E$76:$E$78),Analysis!$E$76:$E$78,0))&amp;" is the biggest category with "&amp;TEXT(MAX(Analysis!$E$76:$E$78),"0.0%")&amp;" of revenue. The product that sells the most units is not always the one that earns the most."</f>
        <v>Bookshelf is the most sold product (102), while Laptop earns the most money (₹67,499). Electronics is the biggest category with 74.9% of revenue. The product that sells the most units is not always the one that earns the most.</v>
      </c>
      <c r="D35" s="94"/>
      <c r="E35" s="94"/>
      <c r="F35" s="94"/>
    </row>
    <row r="36" spans="2:6" ht="39.950000000000003" customHeight="1">
      <c r="B36" s="72" t="s">
        <v>614</v>
      </c>
      <c r="C36" s="85" t="str">
        <f>Analysis!$B$29&amp;" is the strongest region with "&amp;TEXT(INDEX(Analysis!$G$67:$G$71,MATCH(1,Analysis!$H$67:$H$71,0)),"0.0%")&amp;" of revenue, and "&amp;Analysis!$B$30&amp;" the weakest with "&amp;TEXT(INDEX(Analysis!$G$67:$G$71,MATCH(5,Analysis!$H$67:$H$71,0)),"0.0%")&amp;"."</f>
        <v>East is the strongest region with 25.9% of revenue, and South the weakest with 15.9%.</v>
      </c>
      <c r="D36" s="94"/>
      <c r="E36" s="94"/>
      <c r="F36" s="94"/>
    </row>
    <row r="37" spans="2:6" ht="66" customHeight="1">
      <c r="B37" s="72" t="s">
        <v>615</v>
      </c>
      <c r="C37" s="85" t="str">
        <f>"Revenue peaked in "&amp;Analysis!$B$31&amp;" ("&amp;Analysis!$C$31&amp;"). The monthly line on the Visualizations and Dashboard sheets shows how demand moves from month to month; the final month is partial because data stops on "&amp;TEXT(Analysis!$B$39,"dd mmm yyyy")&amp;"."</f>
        <v>Revenue peaked in Jan 2025 (₹25,799.15 revenue). The monthly line on the Visualizations and Dashboard sheets shows how demand moves from month to month; the final month is partial because data stops on 11 Apr 2025.</v>
      </c>
      <c r="D37" s="94"/>
      <c r="E37" s="94"/>
      <c r="F37" s="94"/>
    </row>
    <row r="38" spans="2:6" ht="27.95" customHeight="1">
      <c r="B38" s="72" t="s">
        <v>616</v>
      </c>
      <c r="C38" s="85" t="str">
        <f>INDEX(Analysis!$A$81:$A$84,MATCH(MAX(Analysis!$B$81:$B$84),Analysis!$B$81:$B$84,0))&amp;" is the largest payment method, carrying "&amp;TEXT(MAX(Analysis!$E$81:$E$84),"0.0%")&amp;" of revenue."</f>
        <v>Credit Card is the largest payment method, carrying 26.8% of revenue.</v>
      </c>
      <c r="D38" s="94"/>
      <c r="E38" s="94"/>
      <c r="F38" s="94"/>
    </row>
    <row r="39" spans="2:6" ht="51.95" customHeight="1">
      <c r="B39" s="72" t="s">
        <v>617</v>
      </c>
      <c r="C39" s="85" t="str">
        <f>"Of the customers who bought "&amp;Analysis!$B$185&amp;" ("&amp;Analysis!$G$189&amp;") and those who bought "&amp;Analysis!$B$186&amp;" ("&amp;Analysis!$G$190&amp;"), "&amp;Analysis!$G$191&amp;" bought both – a ready-made audience for bundle offers."</f>
        <v>Of the customers who bought Electronics (44) and those who bought Furniture (37), 34 bought both – a ready-made audience for bundle offers.</v>
      </c>
      <c r="D39" s="94"/>
      <c r="E39" s="94"/>
      <c r="F39" s="94"/>
    </row>
    <row r="40" spans="2:6" ht="84" customHeight="1">
      <c r="B40" s="72" t="s">
        <v>618</v>
      </c>
      <c r="C40" s="85" t="str">
        <f>"Regression: each extra unit adds about "&amp;TEXT(Analysis!$B$301,"[&gt;=10000000]\₹##\,##\,##\,##0;[&gt;=100000]\₹##\,##\,##0;\₹#,##0")&amp;" and each ₹1 of unit price about "&amp;TEXT(Analysis!$B$302,"\₹0.00")&amp;" to a transaction; quantity and price together explain "&amp;TEXT(Analysis!$B$288,"0.0%")&amp;" of the variation in order value (R²), and the model is statistically significant (Significance F = "&amp;TEXT(Analysis!$F$295,"0.0E+00")&amp;")."</f>
        <v>Regression: each extra unit adds about ₹314 and each ₹1 of unit price about ₹3.04 to a transaction; quantity and price together explain 86.3% of the variation in order value (R²), and the model is statistically significant (Significance F = 3.0E-107).</v>
      </c>
      <c r="D40" s="94"/>
      <c r="E40" s="94"/>
      <c r="F40" s="94"/>
    </row>
    <row r="41" spans="2:6" ht="84" customHeight="1">
      <c r="B41" s="72" t="s">
        <v>619</v>
      </c>
      <c r="C41" s="85" t="str">
        <f>"Scenario analysis: the worst case ("&amp;TEXT(Analysis!$B$262,"[&gt;=10000000]\₹##\,##\,##\,##0;[&gt;=100000]\₹##\,##\,##0;\₹#,##0")&amp;") to best case ("&amp;TEXT(Analysis!$D$262,"[&gt;=10000000]\₹##\,##\,##\,##0;[&gt;=100000]\₹##\,##\,##0;\₹#,##0")&amp;") brackets baseline revenue of "&amp;TEXT(Analysis!$B$21,"[&gt;=10000000]\₹##\,##\,##\,##0;[&gt;=100000]\₹##\,##\,##0;\₹#,##0")&amp;". Goal Seek shows that reaching "&amp;TEXT(Analysis!$B$267,"[&gt;=10000000]\₹##\,##\,##\,##0;[&gt;=100000]\₹##\,##\,##0;\₹#,##0")&amp;" needs "&amp;TEXT(Analysis!$B$269,"0.0%")&amp;" more units at today's prices."</f>
        <v>Scenario analysis: the worst case (₹1,95,960) to best case (₹2,76,750) brackets baseline revenue of ₹2,29,192. Goal Seek shows that reaching ₹2,50,000 needs 9.1% more units at today's prices.</v>
      </c>
      <c r="D41" s="94"/>
      <c r="E41" s="94"/>
      <c r="F41" s="94"/>
    </row>
    <row r="43" spans="2:6" ht="20.100000000000001" customHeight="1">
      <c r="B43" s="11" t="s">
        <v>620</v>
      </c>
      <c r="C43" s="12"/>
      <c r="D43" s="12"/>
      <c r="E43" s="12"/>
      <c r="F43" s="12"/>
    </row>
    <row r="44" spans="2:6" ht="30" customHeight="1">
      <c r="B44" s="85" t="str">
        <f>"1. Protect the "&amp;Analysis!$B$165&amp;" high-value customers with a loyalty or account-management programme – they carry "&amp;TEXT(Analysis!$B$166,"0%")&amp;" of revenue."</f>
        <v>1. Protect the 10 high-value customers with a loyalty or account-management programme – they carry 41% of revenue.</v>
      </c>
      <c r="C44" s="94"/>
      <c r="D44" s="94"/>
      <c r="E44" s="94"/>
      <c r="F44" s="94"/>
    </row>
    <row r="45" spans="2:6" ht="30" customHeight="1">
      <c r="B45" s="85" t="str">
        <f>"2. Keep "&amp;Analysis!$B$104&amp;" and "&amp;Analysis!$B$105&amp;" fully stocked and promoted; they lead on volume and on revenue."</f>
        <v>2. Keep Bookshelf and Laptop fully stocked and promoted; they lead on volume and on revenue.</v>
      </c>
      <c r="C45" s="94"/>
      <c r="D45" s="94"/>
      <c r="E45" s="94"/>
      <c r="F45" s="94"/>
    </row>
    <row r="46" spans="2:6" ht="30" customHeight="1">
      <c r="B46" s="85" t="str">
        <f>"3. Lift "&amp;Analysis!$B$30&amp;" with targeted campaigns, using "&amp;Analysis!$B$29&amp;" as the playbook."</f>
        <v>3. Lift South with targeted campaigns, using East as the playbook.</v>
      </c>
      <c r="C46" s="94"/>
      <c r="D46" s="94"/>
      <c r="E46" s="94"/>
      <c r="F46" s="94"/>
    </row>
    <row r="47" spans="2:6" ht="30" customHeight="1">
      <c r="B47" s="85" t="str">
        <f>"4. Use the "&amp;Analysis!$G$191&amp;" customers who bought both "&amp;Analysis!$B$185&amp;" and "&amp;Analysis!$B$186&amp;" as the pilot group for bundle offers."</f>
        <v>4. Use the 34 customers who bought both Electronics and Furniture as the pilot group for bundle offers.</v>
      </c>
      <c r="C47" s="94"/>
      <c r="D47" s="94"/>
      <c r="E47" s="94"/>
      <c r="F47" s="94"/>
    </row>
    <row r="48" spans="2:6" ht="30" customHeight="1">
      <c r="B48" s="85" t="str">
        <f>"5. Re-run the Dashboard filters before each review so decisions use the latest region, category and period."</f>
        <v>5. Re-run the Dashboard filters before each review so decisions use the latest region, category and period.</v>
      </c>
      <c r="C48" s="94"/>
      <c r="D48" s="94"/>
      <c r="E48" s="94"/>
      <c r="F48" s="94"/>
    </row>
  </sheetData>
  <mergeCells count="14">
    <mergeCell ref="B48:F48"/>
    <mergeCell ref="C34:F34"/>
    <mergeCell ref="B5:F5"/>
    <mergeCell ref="C38:F38"/>
    <mergeCell ref="B45:F45"/>
    <mergeCell ref="B46:F46"/>
    <mergeCell ref="C41:F41"/>
    <mergeCell ref="C37:F37"/>
    <mergeCell ref="C36:F36"/>
    <mergeCell ref="B44:F44"/>
    <mergeCell ref="C40:F40"/>
    <mergeCell ref="C39:F39"/>
    <mergeCell ref="B47:F47"/>
    <mergeCell ref="C35:F3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2026-10-08T04:36:55Z</dcterms:created>
  <dcterms:modified xsi:type="dcterms:W3CDTF">2026-10-15T18:26:28Z</dcterms:modified>
  <cp:category/>
  <cp:contentStatus/>
</cp:coreProperties>
</file>